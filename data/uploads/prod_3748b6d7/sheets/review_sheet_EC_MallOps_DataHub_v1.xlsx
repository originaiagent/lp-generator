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kuten_view" sheetId="1" r:id="rId4"/>
    <sheet state="visible" name="rakuten_master" sheetId="2" r:id="rId5"/>
    <sheet state="visible" name="rakuten_fact_daily_raw" sheetId="3" r:id="rId6"/>
    <sheet state="hidden" name="rakuten_fact_daily_calc" sheetId="4" r:id="rId7"/>
    <sheet state="visible" name="rakuten_summary_7d" sheetId="5" r:id="rId8"/>
    <sheet state="visible" name="rakuten_summary_30d" sheetId="6" r:id="rId9"/>
    <sheet state="visible" name="config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自作アプリが読み込むのはこのタブ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取り込みデータをそのまま置く場所
ただの数値。
または他の数値の直接引用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Dify（LLM）に渡すタブ</t>
      </text>
    </comment>
  </commentList>
</comments>
</file>

<file path=xl/sharedStrings.xml><?xml version="1.0" encoding="utf-8"?>
<sst xmlns="http://schemas.openxmlformats.org/spreadsheetml/2006/main" count="969" uniqueCount="203">
  <si>
    <t>date</t>
  </si>
  <si>
    <t>jan</t>
  </si>
  <si>
    <t>sku</t>
  </si>
  <si>
    <t>rakuten_item_id</t>
  </si>
  <si>
    <t>item_name</t>
  </si>
  <si>
    <t>as_of_date</t>
  </si>
  <si>
    <t>selling_price_latest</t>
  </si>
  <si>
    <t>stock_quantity_latest</t>
  </si>
  <si>
    <t>review_rating_latest</t>
  </si>
  <si>
    <t>review_count_latest</t>
  </si>
  <si>
    <t>genre_rank_latest</t>
  </si>
  <si>
    <t>search_rank_keyword_latest</t>
  </si>
  <si>
    <t>search_rank_position_latest</t>
  </si>
  <si>
    <t>sales_net_7d</t>
  </si>
  <si>
    <t>units_sold_7d</t>
  </si>
  <si>
    <t>sessions_7d</t>
  </si>
  <si>
    <t>orders_7d</t>
  </si>
  <si>
    <t>cvr_7d</t>
  </si>
  <si>
    <t>aov_7d</t>
  </si>
  <si>
    <t>discount_amount_7d</t>
  </si>
  <si>
    <t>points_amount_7d</t>
  </si>
  <si>
    <t>coupon_issue_fee_7d</t>
  </si>
  <si>
    <t>ad_spend_7d</t>
  </si>
  <si>
    <t>ad_sales_7d</t>
  </si>
  <si>
    <t>roas_7d</t>
  </si>
  <si>
    <t>tacos_7d</t>
  </si>
  <si>
    <t>platform_fee_7d</t>
  </si>
  <si>
    <t>shipping_cost_7d</t>
  </si>
  <si>
    <t>other_fee_7d</t>
  </si>
  <si>
    <t>cogs_7d</t>
  </si>
  <si>
    <t>gross_profit_7d</t>
  </si>
  <si>
    <t>profit_margin_7d</t>
  </si>
  <si>
    <t>effective_revenue_per_unit_7d</t>
  </si>
  <si>
    <t>sales_net_30d</t>
  </si>
  <si>
    <t>units_sold_30d</t>
  </si>
  <si>
    <t>sessions_30d</t>
  </si>
  <si>
    <t>orders_30d</t>
  </si>
  <si>
    <t>cvr_30d</t>
  </si>
  <si>
    <t>aov_30d</t>
  </si>
  <si>
    <t>discount_amount_30d</t>
  </si>
  <si>
    <t>points_amount_30d</t>
  </si>
  <si>
    <t>coupon_issue_fee_30d</t>
  </si>
  <si>
    <t>ad_spend_30d</t>
  </si>
  <si>
    <t>ad_sales_30d</t>
  </si>
  <si>
    <t>roas_30d</t>
  </si>
  <si>
    <t>tacos_30d</t>
  </si>
  <si>
    <t>platform_fee_30d</t>
  </si>
  <si>
    <t>shipping_cost_30d</t>
  </si>
  <si>
    <t>other_fee_30d</t>
  </si>
  <si>
    <t>cogs_30d</t>
  </si>
  <si>
    <t>gross_profit_30d</t>
  </si>
  <si>
    <t>profit_margin_30d</t>
  </si>
  <si>
    <t>effective_revenue_per_unit_30d</t>
  </si>
  <si>
    <t>日付</t>
  </si>
  <si>
    <t>JAN</t>
  </si>
  <si>
    <t>SKU</t>
  </si>
  <si>
    <t>楽天商品ID</t>
  </si>
  <si>
    <t>商品名</t>
  </si>
  <si>
    <t>基準日</t>
  </si>
  <si>
    <t>販売価格(込/最新)</t>
  </si>
  <si>
    <t>在庫数(最新)</t>
  </si>
  <si>
    <t>評価(最新)</t>
  </si>
  <si>
    <t>レビュー数(最新)</t>
  </si>
  <si>
    <t>ジャンル順位(最新)</t>
  </si>
  <si>
    <t>検索KW(最新)</t>
  </si>
  <si>
    <t>検索順位(最新)</t>
  </si>
  <si>
    <t>売上(込)_7日</t>
  </si>
  <si>
    <t>販売数_7日</t>
  </si>
  <si>
    <t>アクセス_7日</t>
  </si>
  <si>
    <t>注文件数_7日</t>
  </si>
  <si>
    <t>CVR_7日</t>
  </si>
  <si>
    <t>客単価_7日</t>
  </si>
  <si>
    <t>値引額_7日</t>
  </si>
  <si>
    <t>ポイント原資_7日</t>
  </si>
  <si>
    <t>クーポン手数料_7日</t>
  </si>
  <si>
    <t>広告費_7日</t>
  </si>
  <si>
    <t>広告売上_7日</t>
  </si>
  <si>
    <t>ROAS_7日</t>
  </si>
  <si>
    <t>TACoS_7日</t>
  </si>
  <si>
    <t>手数料_7日</t>
  </si>
  <si>
    <t>送料負担_7日</t>
  </si>
  <si>
    <t>その他費_7日</t>
  </si>
  <si>
    <t>原価_7日</t>
  </si>
  <si>
    <t>粗利(税込)_7日</t>
  </si>
  <si>
    <t>粗利率_7日</t>
  </si>
  <si>
    <t>実質売上/個_7日</t>
  </si>
  <si>
    <t>売上(込)_30日</t>
  </si>
  <si>
    <t>販売数_30日</t>
  </si>
  <si>
    <t>アクセス_30日</t>
  </si>
  <si>
    <t>注文件数_30日</t>
  </si>
  <si>
    <t>CVR_30日</t>
  </si>
  <si>
    <t>客単価_30日</t>
  </si>
  <si>
    <t>値引額_30日</t>
  </si>
  <si>
    <t>ポイント原資_30日</t>
  </si>
  <si>
    <t>クーポン手数料_30日</t>
  </si>
  <si>
    <t>広告費_30日</t>
  </si>
  <si>
    <t>広告売上_30日</t>
  </si>
  <si>
    <t>ROAS_30日</t>
  </si>
  <si>
    <t>TACoS_30日</t>
  </si>
  <si>
    <t>手数料_30日</t>
  </si>
  <si>
    <t>送料負担_30日</t>
  </si>
  <si>
    <t>その他費_30日</t>
  </si>
  <si>
    <t>原価_30日</t>
  </si>
  <si>
    <t>粗利(税込)_30日</t>
  </si>
  <si>
    <t>粗利率_30日</t>
  </si>
  <si>
    <t>実質売上/個_30日</t>
  </si>
  <si>
    <t>SKU-B005</t>
  </si>
  <si>
    <t>item_002</t>
  </si>
  <si>
    <t>オーガニックコットンTシャツ</t>
  </si>
  <si>
    <t/>
  </si>
  <si>
    <t>SKU-C012</t>
  </si>
  <si>
    <t>item_003</t>
  </si>
  <si>
    <t>国産コシヒカリ 5kg</t>
  </si>
  <si>
    <t>SKU-D030</t>
  </si>
  <si>
    <t>item_004</t>
  </si>
  <si>
    <t>ビタミンC美容液</t>
  </si>
  <si>
    <t>SKU-E099</t>
  </si>
  <si>
    <t>item_005</t>
  </si>
  <si>
    <t>超軽量キャンプチェア</t>
  </si>
  <si>
    <t>Jan</t>
  </si>
  <si>
    <t>aku</t>
  </si>
  <si>
    <t>rakuten_item_i</t>
  </si>
  <si>
    <t>sessions</t>
  </si>
  <si>
    <t>orders</t>
  </si>
  <si>
    <t>units_sold</t>
  </si>
  <si>
    <t>sales_net</t>
  </si>
  <si>
    <t>selling_price</t>
  </si>
  <si>
    <t>discount_amount</t>
  </si>
  <si>
    <t>points_amount</t>
  </si>
  <si>
    <t>coupon_issue_fee</t>
  </si>
  <si>
    <t>ad_spend</t>
  </si>
  <si>
    <t>ad_sales</t>
  </si>
  <si>
    <t>platform_fee</t>
  </si>
  <si>
    <t>shipping_cost</t>
  </si>
  <si>
    <t>other_fee</t>
  </si>
  <si>
    <t>cogs</t>
  </si>
  <si>
    <t>stock_quantity</t>
  </si>
  <si>
    <t>review_rating</t>
  </si>
  <si>
    <t>review_count</t>
  </si>
  <si>
    <t>genre_rank</t>
  </si>
  <si>
    <t>search_rank_keyword</t>
  </si>
  <si>
    <t>search_rank_position</t>
  </si>
  <si>
    <t>cvr</t>
  </si>
  <si>
    <t>aov</t>
  </si>
  <si>
    <t>effective_price_per_unit</t>
  </si>
  <si>
    <t>effective_discount_rate</t>
  </si>
  <si>
    <t>gross_profit_incl_tax</t>
  </si>
  <si>
    <t>profit_margin</t>
  </si>
  <si>
    <t>roas</t>
  </si>
  <si>
    <t>tacos</t>
  </si>
  <si>
    <t>アクセス</t>
  </si>
  <si>
    <t>注文件数</t>
  </si>
  <si>
    <t>販売数</t>
  </si>
  <si>
    <t>売上(税込)</t>
  </si>
  <si>
    <t>販売価格(税込)</t>
  </si>
  <si>
    <t>値引額</t>
  </si>
  <si>
    <t>ポイント原資</t>
  </si>
  <si>
    <t>クーポン手数料</t>
  </si>
  <si>
    <t>広告費</t>
  </si>
  <si>
    <t>広告売上</t>
  </si>
  <si>
    <t>手数料</t>
  </si>
  <si>
    <t>送料負担</t>
  </si>
  <si>
    <t>その他費</t>
  </si>
  <si>
    <t>原価</t>
  </si>
  <si>
    <t>在庫数</t>
  </si>
  <si>
    <t>評価</t>
  </si>
  <si>
    <t>レビュー数</t>
  </si>
  <si>
    <t>ジャンル順位</t>
  </si>
  <si>
    <t>検索KW</t>
  </si>
  <si>
    <t>検索順位</t>
  </si>
  <si>
    <t>CVR</t>
  </si>
  <si>
    <t>客単価</t>
  </si>
  <si>
    <t>実質単価</t>
  </si>
  <si>
    <t>実質値引率</t>
  </si>
  <si>
    <t>粗利(税込)</t>
  </si>
  <si>
    <t>粗利率</t>
  </si>
  <si>
    <t>ROAS</t>
  </si>
  <si>
    <t>TACoS</t>
  </si>
  <si>
    <t>SKU-A001</t>
  </si>
  <si>
    <t>item_001</t>
  </si>
  <si>
    <t>ワイヤレスイヤホン Pro</t>
  </si>
  <si>
    <t>ワイヤレスイヤホン</t>
  </si>
  <si>
    <t>Tシャツ メンズ</t>
  </si>
  <si>
    <t>米 5kg</t>
  </si>
  <si>
    <t>美容液</t>
  </si>
  <si>
    <t>アウトドアチェア</t>
  </si>
  <si>
    <t>JANコード</t>
  </si>
  <si>
    <t>config_key</t>
  </si>
  <si>
    <t>config_value</t>
  </si>
  <si>
    <t>config_type</t>
  </si>
  <si>
    <t>scope</t>
  </si>
  <si>
    <t>description</t>
  </si>
  <si>
    <t>updated_at</t>
  </si>
  <si>
    <t>updated_by</t>
  </si>
  <si>
    <t>notes</t>
  </si>
  <si>
    <t>設定キー</t>
  </si>
  <si>
    <t>設定値</t>
  </si>
  <si>
    <t>型</t>
  </si>
  <si>
    <t>適用範囲</t>
  </si>
  <si>
    <t>説明</t>
  </si>
  <si>
    <t>更新日時</t>
  </si>
  <si>
    <t>更新者</t>
  </si>
  <si>
    <t>メモ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</si>
</sst>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m/dd"/>
    <numFmt numFmtId="166" formatCode="yyyy/m/d"/>
  </numFmts>
  <fonts count="3">
    <font>
      <sz val="10.0"/>
      <color rgb="FF000000"/>
      <name val="Arial"/>
      <scheme val="minor"/>
    </font>
    <font>
      <sz val="12.0"/>
      <color rgb="FF000000"/>
      <name val="游ゴシック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2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83</v>
      </c>
      <c r="AF2" s="1" t="s">
        <v>84</v>
      </c>
      <c r="AG2" s="1" t="s">
        <v>85</v>
      </c>
      <c r="AH2" s="1" t="s">
        <v>86</v>
      </c>
      <c r="AI2" s="1" t="s">
        <v>87</v>
      </c>
      <c r="AJ2" s="1" t="s">
        <v>88</v>
      </c>
      <c r="AK2" s="1" t="s">
        <v>89</v>
      </c>
      <c r="AL2" s="1" t="s">
        <v>90</v>
      </c>
      <c r="AM2" s="1" t="s">
        <v>91</v>
      </c>
      <c r="AN2" s="1" t="s">
        <v>92</v>
      </c>
      <c r="AO2" s="1" t="s">
        <v>93</v>
      </c>
      <c r="AP2" s="1" t="s">
        <v>94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100</v>
      </c>
      <c r="AW2" s="1" t="s">
        <v>101</v>
      </c>
      <c r="AX2" s="1" t="s">
        <v>102</v>
      </c>
      <c r="AY2" s="1" t="s">
        <v>103</v>
      </c>
      <c r="AZ2" s="1" t="s">
        <v>104</v>
      </c>
      <c r="BA2" s="1" t="s">
        <v>105</v>
      </c>
    </row>
    <row r="3">
      <c r="A3" s="3">
        <f t="array" ref="A3">rakuten_fact_daily_raw!A3
</f>
        <v>45962</v>
      </c>
      <c r="B3" s="4">
        <f>IFERROR(__xludf.DUMMYFUNCTION("SORT(UNIQUE(FILTER(rakuten_fact_daily_raw!B3:B1000, rakuten_fact_daily_raw!B3:B1000&lt;&gt;"""")))
"),4.512345678001E12)</f>
        <v>4512345678001</v>
      </c>
      <c r="C3" s="4" t="str">
        <f t="array" ref="C3:C1000">IF(B3:B1000="",,XLOOKUP(B3:B1000, rakuten_fact_daily_raw!B3:B1000, rakuten_fact_daily_raw!C3:C1000, ""))
</f>
        <v>SKU-A001</v>
      </c>
      <c r="D3" s="4" t="str">
        <f t="array" ref="D3:D1000">IF(B3:B1000="",,
  IFERROR(
    XLOOKUP(B3:B1000, rakuten_primary_map!A:A, rakuten_primary_map!B:B, ""),
    XLOOKUP(B3:B1000, rakuten_fact_daily_raw!B3:B1000, rakuten_fact_daily_raw!D3:D1000, "")
  )
)
</f>
        <v>item_001</v>
      </c>
      <c r="E3" s="4" t="str">
        <f t="array" ref="E3:E1000">IF(B3:B1000="",,XLOOKUP(B3:B1000, rakuten_fact_daily_raw!B3:B1000, rakuten_fact_daily_raw!E3:E1000, ""))
</f>
        <v>ワイヤレスイヤホン Pro</v>
      </c>
      <c r="F3" s="5">
        <f t="array" ref="F3:F1000">IF(B3:B1000="",,MAX(rakuten_fact_daily_raw!A3:A1000))
</f>
        <v>45991</v>
      </c>
      <c r="G3" s="4">
        <f>IFERROR(__xludf.DUMMYFUNCTION("MAP(B3:B1000, LAMBDA(j,
  IF(j="""",,
    LET(asof, MAX(rakuten_fact_daily_raw!A3:A1000),
      IFERROR(MAX(FILTER(rakuten_fact_daily_raw!J3:J1000, rakuten_fact_daily_raw!B3:B1000=j, rakuten_fact_daily_raw!A3:A1000=asof)), """")
    )
  )
))
"),5000.0)</f>
        <v>5000</v>
      </c>
      <c r="H3" s="4">
        <f>IFERROR(__xludf.DUMMYFUNCTION("MAP(B3:B1000, LAMBDA(j,
  IF(j="""",,
    LET(asof, MAX(rakuten_fact_daily_raw!A3:A1000),
      IFERROR(MAX(FILTER(rakuten_fact_daily_raw!T3:T1000, rakuten_fact_daily_raw!B3:B1000=j, rakuten_fact_daily_raw!A3:A1000=asof)), """")
    )
  )
))
"),420.0)</f>
        <v>420</v>
      </c>
      <c r="I3" s="4">
        <f>IFERROR(__xludf.DUMMYFUNCTION("MAP(B3:B1000, LAMBDA(j,
  IF(j="""",,
    LET(asof, MAX(rakuten_fact_daily_raw!A3:A1000),
      cnt, FILTER(rakuten_fact_daily_raw!V3:V1000, rakuten_fact_daily_raw!B3:B1000=j, rakuten_fact_daily_raw!A3:A1000=asof),
      rat, FILTER(rakuten_fact_daily_raw"&amp;"!U3:U1000, rakuten_fact_daily_raw!B3:B1000=j, rakuten_fact_daily_raw!A3:A1000=asof),
      IFERROR(SUMPRODUCT(rat,cnt)/SUM(cnt), """")
    )
  )
))
"),3.8)</f>
        <v>3.8</v>
      </c>
      <c r="J3" s="4">
        <f>IFERROR(__xludf.DUMMYFUNCTION("MAP(B3:B1000, LAMBDA(j,
  IF(j="""",,
    LET(asof, MAX(rakuten_fact_daily_raw!A3:A1000),
      IFERROR(SUM(FILTER(rakuten_fact_daily_raw!V3:V1000, rakuten_fact_daily_raw!B3:B1000=j, rakuten_fact_daily_raw!A3:A1000=asof)), """")
    )
  )
))
"),179.0)</f>
        <v>179</v>
      </c>
      <c r="K3" s="4">
        <f>IFERROR(__xludf.DUMMYFUNCTION("MAP(B3:B1000, LAMBDA(j,
  IF(j="""",,
    LET(asof, MAX(rakuten_fact_daily_raw!A3:A1000),
      IFERROR(MIN(FILTER(rakuten_fact_daily_raw!W3:W1000, rakuten_fact_daily_raw!B3:B1000=j, rakuten_fact_daily_raw!A3:A1000=asof)), """")
    )
  )
))
"),2.0)</f>
        <v>2</v>
      </c>
      <c r="L3" s="4" t="str">
        <f>IFERROR(__xludf.DUMMYFUNCTION("MAP(B3:B1000, LAMBDA(j,
  IF(j="""",,
    LET(asof, MAX(rakuten_fact_daily_raw!A3:A1000),
      IFERROR(INDEX(FILTER(rakuten_fact_daily_raw!X3:X1000, rakuten_fact_daily_raw!B3:B1000=j, rakuten_fact_daily_raw!A3:A1000=asof),1), """")
    )
  )
))
"),"ワイヤレスイヤホン")</f>
        <v>ワイヤレスイヤホン</v>
      </c>
      <c r="M3" s="4">
        <f>IFERROR(__xludf.DUMMYFUNCTION("MAP(B3:B1000, LAMBDA(j,
  IF(j="""",,
    LET(asof, MAX(rakuten_fact_daily_raw!A3:A1000),
      IFERROR(INDEX(FILTER(rakuten_fact_daily_raw!Y3:Y1000, rakuten_fact_daily_raw!B3:B1000=j, rakuten_fact_daily_raw!A3:A1000=asof),1), """")
    )
  )
))
"),4.0)</f>
        <v>4</v>
      </c>
      <c r="N3" s="4" t="str">
        <f t="array" ref="N3:N1000">IF(B3:B1000="",,XLOOKUP(B3:B1000, rakuten_summary_7d!A3:A1000, rakuten_summary_7d!H3:H1000, ""))
</f>
        <v/>
      </c>
      <c r="O3" s="4" t="str">
        <f t="array" ref="O3:O1000">IF(B3:B1000="",,XLOOKUP(B3:B1000, rakuten_summary_7d!A3:A1000, rakuten_summary_7d!G3:G1000, ""))
</f>
        <v/>
      </c>
      <c r="P3" s="4" t="str">
        <f t="array" ref="P3:P1000">IF(B3:B1000="",,XLOOKUP(B3:B1000, rakuten_summary_7d!A3:A1000, rakuten_summary_7d!E3:E1000, ""))
</f>
        <v/>
      </c>
      <c r="Q3" s="4" t="str">
        <f t="array" ref="Q3:Q1000">IF(B3:B1000="",,XLOOKUP(B3:B1000, rakuten_summary_7d!A3:A1000, rakuten_summary_7d!F3:F1000, ""))
</f>
        <v/>
      </c>
      <c r="R3" s="4" t="str">
        <f t="array" ref="R3:R1000">IF(B3:B1000="",,IFERROR(Q3:Q1000/P3:P1000,""))
</f>
        <v/>
      </c>
      <c r="S3" s="4" t="str">
        <f t="array" ref="S3:S1000">IF(B3:B1000="",,IFERROR(N3:N1000/Q3:Q1000,""))
</f>
        <v/>
      </c>
      <c r="T3" s="4" t="str">
        <f t="array" ref="T3:T1000">IF(B3:B1000="",,XLOOKUP(B3:B1000, rakuten_summary_7d!A3:A1000, rakuten_summary_7d!I3:I1000, ""))
</f>
        <v/>
      </c>
      <c r="U3" s="4" t="str">
        <f t="array" ref="U3:U1000">IF(B3:B1000="",,XLOOKUP(B3:B1000, rakuten_summary_7d!A3:A1000, rakuten_summary_7d!J3:J1000, ""))
</f>
        <v/>
      </c>
      <c r="V3" s="4" t="str">
        <f t="array" ref="V3:V1000">IF(B3:B1000="",,XLOOKUP(B3:B1000, rakuten_summary_7d!A3:A1000, rakuten_summary_7d!K3:K1000, ""))
</f>
        <v/>
      </c>
      <c r="W3" s="4" t="str">
        <f t="array" ref="W3:W1000">IF(B3:B1000="",,XLOOKUP(B3:B1000, rakuten_summary_7d!A3:A1000, rakuten_summary_7d!M3:M1000, ""))
</f>
        <v/>
      </c>
      <c r="X3" s="4" t="str">
        <f t="array" ref="X3:X1000">IF(B3:B1000="",,XLOOKUP(B3:B1000, rakuten_summary_7d!A3:A1000, rakuten_summary_7d!M3:M1000, ""))
</f>
        <v/>
      </c>
      <c r="Y3" s="4" t="str">
        <f t="array" ref="Y3:Y1000">IF(B3:B1000="",,IFERROR(X3:X1000/W3:W1000,""))
</f>
        <v/>
      </c>
      <c r="Z3" s="4" t="str">
        <f t="array" ref="Z3:Z1000">IF(B3:B1000="",,IFERROR(X3:X1000/W3:W1000,""))
</f>
        <v/>
      </c>
      <c r="AA3" s="4" t="str">
        <f t="array" ref="AA3:AA1000">IF(B3:B1000="",,XLOOKUP(B3:B1000, rakuten_summary_7d!A3:A1000, rakuten_summary_7d!N3:N1000, ""))
</f>
        <v/>
      </c>
      <c r="AB3" s="4" t="str">
        <f t="array" ref="AB3:AB1000">IF(B3:B1000="",,XLOOKUP(B3:B1000, rakuten_summary_7d!A3:A1000, rakuten_summary_7d!O3:O1000, ""))
</f>
        <v/>
      </c>
      <c r="AC3" s="4" t="str">
        <f t="array" ref="AC3:AC1000">IF(B3:B1000="",,XLOOKUP(B3:B1000, rakuten_summary_7d!A3:A1000, rakuten_summary_7d!P3:P1000, ""))
</f>
        <v/>
      </c>
      <c r="AD3" s="4" t="str">
        <f t="array" ref="AD3:AD1000">IF(B3:B1000="",,XLOOKUP(B3:B1000, rakuten_summary_7d!A3:A1000, rakuten_summary_7d!Q3:Q1000, ""))
</f>
        <v/>
      </c>
      <c r="AE3" s="4">
        <f t="array" ref="AE3:AE1000">IF(B3:B1000="",,IFERROR(N3:N1000 - AD3:AD1000 - AA3:AA1000 - AB3:AB1000 - AC3:AC1000 - W3:W1000 - U3:U1000 - T3:T1000 - V3:V1000,""))
</f>
        <v>0</v>
      </c>
      <c r="AF3" s="4" t="str">
        <f t="array" ref="AF3:AF1000">IF(B3:B1000="",,IFERROR(AE3:AE1000/N3:N1000,""))
</f>
        <v/>
      </c>
      <c r="AG3" s="4" t="str">
        <f t="array" ref="AG3:AG1000">IF(B3:B1000="",,IFERROR((N3:N1000 - T3:T1000 - U3:U1000)/O3:O1000,""))
</f>
        <v/>
      </c>
      <c r="AH3" s="4">
        <f t="array" ref="AH3:AH1000">IF(B3:B1000="",,XLOOKUP(B3:B1000, rakuten_summary_30d!A3:A1000, rakuten_summary_30d!H3:H1000, ""))
</f>
        <v>7900000</v>
      </c>
      <c r="AI3" s="4">
        <f t="array" ref="AI3:AI1000">IF(B3:B1000="",,XLOOKUP(B3:B1000, rakuten_summary_30d!A3:A1000, rakuten_summary_30d!G3:G1000, ""))
</f>
        <v>1580</v>
      </c>
      <c r="AJ3" s="4">
        <f t="array" ref="AJ3:AJ1000">IF(B3:B1000="",,XLOOKUP(B3:B1000, rakuten_summary_30d!A3:A1000, rakuten_summary_30d!E3:E1000, ""))
</f>
        <v>48422</v>
      </c>
      <c r="AK3" s="4">
        <f t="array" ref="AK3:AK1000">IF(B3:B1000="",,XLOOKUP(B3:B1000, rakuten_summary_30d!A3:A1000, rakuten_summary_30d!F3:F1000, ""))
</f>
        <v>1465</v>
      </c>
      <c r="AL3" s="4">
        <f t="array" ref="AL3:AL1000">IF(B3:B1000="",,IFERROR(AK3:AK1000/AJ3:AJ1000,""))
</f>
        <v>0.03025484284</v>
      </c>
      <c r="AM3" s="4">
        <f t="array" ref="AM3:AM1000">IF(B3:B1000="",,IFERROR(AH3:AH1000/AK3:AK1000,""))
</f>
        <v>5392.491468</v>
      </c>
      <c r="AN3" s="4">
        <f t="array" ref="AN3:AN1000">IF(B3:B1000="",,XLOOKUP(B3:B1000, rakuten_summary_30d!A3:A1000, rakuten_summary_30d!I3:I1000, ""))
</f>
        <v>0</v>
      </c>
      <c r="AO3" s="4">
        <f t="array" ref="AO3:AO1000">IF(B3:B1000="",,XLOOKUP(B3:B1000, rakuten_summary_30d!A3:A1000, rakuten_summary_30d!J3:J1000, ""))
</f>
        <v>79000</v>
      </c>
      <c r="AP3" s="4">
        <f t="array" ref="AP3:AP1000">IF(B3:B1000="",,XLOOKUP(B3:B1000, rakuten_summary_30d!A3:A1000, rakuten_summary_30d!K3:K1000, ""))
</f>
        <v>29700</v>
      </c>
      <c r="AQ3" s="4">
        <f t="array" ref="AQ3:AQ1000">IF(B3:B1000="",,XLOOKUP(B3:B1000, rakuten_summary_30d!A3:A1000, rakuten_summary_30d!L3:L1000, ""))
</f>
        <v>632000</v>
      </c>
      <c r="AR3" s="4">
        <f t="array" ref="AR3:AR1000">IF(B3:B1000="",,XLOOKUP(B3:B1000, rakuten_summary_30d!A3:A1000, rakuten_summary_30d!M3:M1000, ""))
</f>
        <v>790000</v>
      </c>
      <c r="AS3" s="4">
        <f t="array" ref="AS3:AS1000">IF(B3:B1000="",,IFERROR(AR3:AR1000/AQ3:AQ1000,""))
</f>
        <v>1.25</v>
      </c>
      <c r="AT3" s="4">
        <f t="array" ref="AT3:AT1000">IF(B3:B1000="",,IFERROR(AQ3:AQ1000/AH3:AH1000,""))
</f>
        <v>0.08</v>
      </c>
      <c r="AU3" s="4">
        <f t="array" ref="AU3:AU1000">IF(B3:B1000="",,XLOOKUP(B3:B1000, rakuten_summary_30d!A3:A1000, rakuten_summary_30d!N3:N1000, ""))
</f>
        <v>4740000</v>
      </c>
      <c r="AV3" s="4">
        <f t="array" ref="AV3:AV1000">IF(B3:B1000="",,XLOOKUP(B3:B1000, rakuten_summary_30d!A3:A1000, rakuten_summary_30d!O3:O1000, ""))
</f>
        <v>732500</v>
      </c>
      <c r="AW3" s="4">
        <f t="array" ref="AW3:AW1000">IF(B3:B1000="",,XLOOKUP(B3:B1000, rakuten_summary_30d!A3:A1000, rakuten_summary_30d!P3:P1000, ""))
</f>
        <v>0</v>
      </c>
      <c r="AX3" s="4">
        <f t="array" ref="AX3:AX1000">IF(B3:B1000="",,XLOOKUP(B3:B1000, rakuten_summary_30d!A3:A1000, rakuten_summary_30d!Q3:Q1000, ""))
</f>
        <v>75000</v>
      </c>
      <c r="AY3" s="4">
        <f t="array" ref="AY3:AY1000">IF(B3:B1000="",,IFERROR(AH3:AH1000 - AX3:AX1000 - AU3:AU1000 - AV3:AV1000 - AW3:AW1000 - AQ3:AQ1000 - AO3:AO1000 - AN3:AN1000 - AP3:AP1000,""))
</f>
        <v>1611800</v>
      </c>
      <c r="AZ3" s="4">
        <f t="array" ref="AZ3:AZ1000">IF(B3:B1000="",,IFERROR(AY3:AY1000/AH3:AH1000,""))
</f>
        <v>0.2040253165</v>
      </c>
      <c r="BA3" s="4">
        <f t="array" ref="BA3:BA1000">IF(B3:B1000="",,IFERROR((AH3:AH1000 - AN3:AN1000 - AO3:AO1000)/AI3:AI1000,""))
</f>
        <v>4950</v>
      </c>
    </row>
    <row r="4">
      <c r="A4" s="3">
        <f t="array" ref="A4">rakuten_fact_daily_raw!A4
</f>
        <v>45962</v>
      </c>
      <c r="B4" s="4">
        <f>IFERROR(__xludf.DUMMYFUNCTION("""COMPUTED_VALUE"""),4.512345678002E12)</f>
        <v>4512345678002</v>
      </c>
      <c r="C4" s="4" t="s">
        <v>106</v>
      </c>
      <c r="D4" s="4" t="s">
        <v>107</v>
      </c>
      <c r="E4" s="4" t="s">
        <v>108</v>
      </c>
      <c r="F4" s="5">
        <v>45991.0</v>
      </c>
      <c r="G4" s="4">
        <f>IFERROR(__xludf.DUMMYFUNCTION("""COMPUTED_VALUE"""),3000.0)</f>
        <v>3000</v>
      </c>
      <c r="H4" s="4">
        <f>IFERROR(__xludf.DUMMYFUNCTION("""COMPUTED_VALUE"""),214.0)</f>
        <v>214</v>
      </c>
      <c r="I4" s="4">
        <f>IFERROR(__xludf.DUMMYFUNCTION("""COMPUTED_VALUE"""),4.1)</f>
        <v>4.1</v>
      </c>
      <c r="J4" s="4">
        <f>IFERROR(__xludf.DUMMYFUNCTION("""COMPUTED_VALUE"""),109.0)</f>
        <v>109</v>
      </c>
      <c r="K4" s="4">
        <f>IFERROR(__xludf.DUMMYFUNCTION("""COMPUTED_VALUE"""),12.0)</f>
        <v>12</v>
      </c>
      <c r="L4" s="4" t="str">
        <f>IFERROR(__xludf.DUMMYFUNCTION("""COMPUTED_VALUE"""),"Tシャツ メンズ")</f>
        <v>Tシャツ メンズ</v>
      </c>
      <c r="M4" s="4">
        <f>IFERROR(__xludf.DUMMYFUNCTION("""COMPUTED_VALUE"""),8.0)</f>
        <v>8</v>
      </c>
      <c r="N4" s="4"/>
      <c r="O4" s="4"/>
      <c r="P4" s="4"/>
      <c r="Q4" s="4"/>
      <c r="R4" s="4" t="s">
        <v>109</v>
      </c>
      <c r="S4" s="4" t="s">
        <v>109</v>
      </c>
      <c r="T4" s="4"/>
      <c r="U4" s="4"/>
      <c r="V4" s="4"/>
      <c r="W4" s="4"/>
      <c r="X4" s="4"/>
      <c r="Y4" s="4" t="s">
        <v>109</v>
      </c>
      <c r="Z4" s="4" t="s">
        <v>109</v>
      </c>
      <c r="AA4" s="4"/>
      <c r="AB4" s="4"/>
      <c r="AC4" s="4"/>
      <c r="AD4" s="4"/>
      <c r="AE4" s="4">
        <v>0.0</v>
      </c>
      <c r="AF4" s="4" t="s">
        <v>109</v>
      </c>
      <c r="AG4" s="4" t="s">
        <v>109</v>
      </c>
      <c r="AH4" s="4">
        <v>1758000.0</v>
      </c>
      <c r="AI4" s="4">
        <v>586.0</v>
      </c>
      <c r="AJ4" s="4">
        <v>25668.0</v>
      </c>
      <c r="AK4" s="4">
        <v>544.0</v>
      </c>
      <c r="AL4" s="4">
        <v>0.02119370422315724</v>
      </c>
      <c r="AM4" s="4">
        <v>3231.6176470588234</v>
      </c>
      <c r="AN4" s="4">
        <v>0.0</v>
      </c>
      <c r="AO4" s="4">
        <v>17580.0</v>
      </c>
      <c r="AP4" s="4">
        <v>6800.0</v>
      </c>
      <c r="AQ4" s="4">
        <v>140640.0</v>
      </c>
      <c r="AR4" s="4">
        <v>175800.0</v>
      </c>
      <c r="AS4" s="4">
        <v>1.25</v>
      </c>
      <c r="AT4" s="4">
        <v>0.08</v>
      </c>
      <c r="AU4" s="4">
        <v>1054800.0</v>
      </c>
      <c r="AV4" s="4">
        <v>272000.0</v>
      </c>
      <c r="AW4" s="4">
        <v>0.0</v>
      </c>
      <c r="AX4" s="4">
        <v>27000.0</v>
      </c>
      <c r="AY4" s="4">
        <v>239180.0</v>
      </c>
      <c r="AZ4" s="4">
        <v>0.13605233219567692</v>
      </c>
      <c r="BA4" s="4">
        <v>2970.0</v>
      </c>
    </row>
    <row r="5">
      <c r="A5" s="3">
        <f t="array" ref="A5">rakuten_fact_daily_raw!A5
</f>
        <v>45962</v>
      </c>
      <c r="B5" s="4">
        <f>IFERROR(__xludf.DUMMYFUNCTION("""COMPUTED_VALUE"""),4.512345678003E12)</f>
        <v>4512345678003</v>
      </c>
      <c r="C5" s="4" t="s">
        <v>110</v>
      </c>
      <c r="D5" s="4" t="s">
        <v>111</v>
      </c>
      <c r="E5" s="4" t="s">
        <v>112</v>
      </c>
      <c r="F5" s="5">
        <v>45991.0</v>
      </c>
      <c r="G5" s="4">
        <f>IFERROR(__xludf.DUMMYFUNCTION("""COMPUTED_VALUE"""),3000.0)</f>
        <v>3000</v>
      </c>
      <c r="H5" s="4">
        <f>IFERROR(__xludf.DUMMYFUNCTION("""COMPUTED_VALUE"""),214.0)</f>
        <v>214</v>
      </c>
      <c r="I5" s="4">
        <f>IFERROR(__xludf.DUMMYFUNCTION("""COMPUTED_VALUE"""),4.6)</f>
        <v>4.6</v>
      </c>
      <c r="J5" s="4">
        <f>IFERROR(__xludf.DUMMYFUNCTION("""COMPUTED_VALUE"""),329.0)</f>
        <v>329</v>
      </c>
      <c r="K5" s="4">
        <f>IFERROR(__xludf.DUMMYFUNCTION("""COMPUTED_VALUE"""),3.0)</f>
        <v>3</v>
      </c>
      <c r="L5" s="4" t="str">
        <f>IFERROR(__xludf.DUMMYFUNCTION("""COMPUTED_VALUE"""),"米 5kg")</f>
        <v>米 5kg</v>
      </c>
      <c r="M5" s="4">
        <f>IFERROR(__xludf.DUMMYFUNCTION("""COMPUTED_VALUE"""),1.0)</f>
        <v>1</v>
      </c>
      <c r="N5" s="4"/>
      <c r="O5" s="4"/>
      <c r="P5" s="4"/>
      <c r="Q5" s="4"/>
      <c r="R5" s="4" t="s">
        <v>109</v>
      </c>
      <c r="S5" s="4" t="s">
        <v>109</v>
      </c>
      <c r="T5" s="4"/>
      <c r="U5" s="4"/>
      <c r="V5" s="4"/>
      <c r="W5" s="4"/>
      <c r="X5" s="4"/>
      <c r="Y5" s="4" t="s">
        <v>109</v>
      </c>
      <c r="Z5" s="4" t="s">
        <v>109</v>
      </c>
      <c r="AA5" s="4"/>
      <c r="AB5" s="4"/>
      <c r="AC5" s="4"/>
      <c r="AD5" s="4"/>
      <c r="AE5" s="4">
        <v>0.0</v>
      </c>
      <c r="AF5" s="4" t="s">
        <v>109</v>
      </c>
      <c r="AG5" s="4" t="s">
        <v>109</v>
      </c>
      <c r="AH5" s="4">
        <v>1.5858E7</v>
      </c>
      <c r="AI5" s="4">
        <v>5286.0</v>
      </c>
      <c r="AJ5" s="4">
        <v>93910.0</v>
      </c>
      <c r="AK5" s="4">
        <v>4775.0</v>
      </c>
      <c r="AL5" s="4">
        <v>0.05084655521243744</v>
      </c>
      <c r="AM5" s="4">
        <v>3321.047120418848</v>
      </c>
      <c r="AN5" s="4">
        <v>0.0</v>
      </c>
      <c r="AO5" s="4">
        <v>158580.0</v>
      </c>
      <c r="AP5" s="4">
        <v>148200.0</v>
      </c>
      <c r="AQ5" s="4">
        <v>1268640.0</v>
      </c>
      <c r="AR5" s="4">
        <v>792900.0</v>
      </c>
      <c r="AS5" s="4">
        <v>0.625</v>
      </c>
      <c r="AT5" s="4">
        <v>0.08</v>
      </c>
      <c r="AU5" s="4">
        <v>9514800.0</v>
      </c>
      <c r="AV5" s="4">
        <v>2387500.0</v>
      </c>
      <c r="AW5" s="4">
        <v>0.0</v>
      </c>
      <c r="AX5" s="4">
        <v>54000.0</v>
      </c>
      <c r="AY5" s="4">
        <v>2326280.0</v>
      </c>
      <c r="AZ5" s="4">
        <v>0.14669441291461724</v>
      </c>
      <c r="BA5" s="4">
        <v>2970.0</v>
      </c>
    </row>
    <row r="6">
      <c r="A6" s="3">
        <f t="array" ref="A6">rakuten_fact_daily_raw!A6
</f>
        <v>45962</v>
      </c>
      <c r="B6" s="4">
        <f>IFERROR(__xludf.DUMMYFUNCTION("""COMPUTED_VALUE"""),4.512345678004E12)</f>
        <v>4512345678004</v>
      </c>
      <c r="C6" s="4" t="s">
        <v>113</v>
      </c>
      <c r="D6" s="4" t="s">
        <v>114</v>
      </c>
      <c r="E6" s="4" t="s">
        <v>115</v>
      </c>
      <c r="F6" s="5">
        <v>45991.0</v>
      </c>
      <c r="G6" s="4">
        <f>IFERROR(__xludf.DUMMYFUNCTION("""COMPUTED_VALUE"""),3000.0)</f>
        <v>3000</v>
      </c>
      <c r="H6" s="4">
        <f>IFERROR(__xludf.DUMMYFUNCTION("""COMPUTED_VALUE"""),356.0)</f>
        <v>356</v>
      </c>
      <c r="I6" s="4">
        <f>IFERROR(__xludf.DUMMYFUNCTION("""COMPUTED_VALUE"""),3.6000000000000005)</f>
        <v>3.6</v>
      </c>
      <c r="J6" s="4">
        <f>IFERROR(__xludf.DUMMYFUNCTION("""COMPUTED_VALUE"""),89.0)</f>
        <v>89</v>
      </c>
      <c r="K6" s="4">
        <f>IFERROR(__xludf.DUMMYFUNCTION("""COMPUTED_VALUE"""),11.0)</f>
        <v>11</v>
      </c>
      <c r="L6" s="4" t="str">
        <f>IFERROR(__xludf.DUMMYFUNCTION("""COMPUTED_VALUE"""),"美容液")</f>
        <v>美容液</v>
      </c>
      <c r="M6" s="4">
        <f>IFERROR(__xludf.DUMMYFUNCTION("""COMPUTED_VALUE"""),10.0)</f>
        <v>10</v>
      </c>
      <c r="N6" s="4"/>
      <c r="O6" s="4"/>
      <c r="P6" s="4"/>
      <c r="Q6" s="4"/>
      <c r="R6" s="4" t="s">
        <v>109</v>
      </c>
      <c r="S6" s="4" t="s">
        <v>109</v>
      </c>
      <c r="T6" s="4"/>
      <c r="U6" s="4"/>
      <c r="V6" s="4"/>
      <c r="W6" s="4"/>
      <c r="X6" s="4"/>
      <c r="Y6" s="4" t="s">
        <v>109</v>
      </c>
      <c r="Z6" s="4" t="s">
        <v>109</v>
      </c>
      <c r="AA6" s="4"/>
      <c r="AB6" s="4"/>
      <c r="AC6" s="4"/>
      <c r="AD6" s="4"/>
      <c r="AE6" s="4">
        <v>0.0</v>
      </c>
      <c r="AF6" s="4" t="s">
        <v>109</v>
      </c>
      <c r="AG6" s="4" t="s">
        <v>109</v>
      </c>
      <c r="AH6" s="4">
        <v>1032000.0</v>
      </c>
      <c r="AI6" s="4">
        <v>344.0</v>
      </c>
      <c r="AJ6" s="4">
        <v>18851.0</v>
      </c>
      <c r="AK6" s="4">
        <v>324.0</v>
      </c>
      <c r="AL6" s="4">
        <v>0.017187417113150496</v>
      </c>
      <c r="AM6" s="4">
        <v>3185.185185185185</v>
      </c>
      <c r="AN6" s="4">
        <v>0.0</v>
      </c>
      <c r="AO6" s="4">
        <v>10320.0</v>
      </c>
      <c r="AP6" s="4">
        <v>5800.0</v>
      </c>
      <c r="AQ6" s="4">
        <v>82560.0</v>
      </c>
      <c r="AR6" s="4">
        <v>154800.0</v>
      </c>
      <c r="AS6" s="4">
        <v>1.875</v>
      </c>
      <c r="AT6" s="4">
        <v>0.08</v>
      </c>
      <c r="AU6" s="4">
        <v>619200.0</v>
      </c>
      <c r="AV6" s="4">
        <v>162000.0</v>
      </c>
      <c r="AW6" s="4">
        <v>0.0</v>
      </c>
      <c r="AX6" s="4">
        <v>18000.0</v>
      </c>
      <c r="AY6" s="4">
        <v>134120.0</v>
      </c>
      <c r="AZ6" s="4">
        <v>0.12996124031007752</v>
      </c>
      <c r="BA6" s="4">
        <v>2970.0</v>
      </c>
    </row>
    <row r="7">
      <c r="A7" s="3">
        <f t="array" ref="A7">rakuten_fact_daily_raw!A7
</f>
        <v>45962</v>
      </c>
      <c r="B7" s="4">
        <f>IFERROR(__xludf.DUMMYFUNCTION("""COMPUTED_VALUE"""),4.512345678005E12)</f>
        <v>4512345678005</v>
      </c>
      <c r="C7" s="4" t="s">
        <v>116</v>
      </c>
      <c r="D7" s="4" t="s">
        <v>117</v>
      </c>
      <c r="E7" s="4" t="s">
        <v>118</v>
      </c>
      <c r="F7" s="5">
        <v>45991.0</v>
      </c>
      <c r="G7" s="4">
        <f>IFERROR(__xludf.DUMMYFUNCTION("""COMPUTED_VALUE"""),4500.0)</f>
        <v>4500</v>
      </c>
      <c r="H7" s="4">
        <f>IFERROR(__xludf.DUMMYFUNCTION("""COMPUTED_VALUE"""),39.0)</f>
        <v>39</v>
      </c>
      <c r="I7" s="4">
        <f>IFERROR(__xludf.DUMMYFUNCTION("""COMPUTED_VALUE"""),4.2)</f>
        <v>4.2</v>
      </c>
      <c r="J7" s="4">
        <f>IFERROR(__xludf.DUMMYFUNCTION("""COMPUTED_VALUE"""),34.0)</f>
        <v>34</v>
      </c>
      <c r="K7" s="4">
        <f>IFERROR(__xludf.DUMMYFUNCTION("""COMPUTED_VALUE"""),36.0)</f>
        <v>36</v>
      </c>
      <c r="L7" s="4" t="str">
        <f>IFERROR(__xludf.DUMMYFUNCTION("""COMPUTED_VALUE"""),"アウトドアチェア")</f>
        <v>アウトドアチェア</v>
      </c>
      <c r="M7" s="4">
        <f>IFERROR(__xludf.DUMMYFUNCTION("""COMPUTED_VALUE"""),32.0)</f>
        <v>32</v>
      </c>
      <c r="N7" s="4"/>
      <c r="O7" s="4"/>
      <c r="P7" s="4"/>
      <c r="Q7" s="4"/>
      <c r="R7" s="4" t="s">
        <v>109</v>
      </c>
      <c r="S7" s="4" t="s">
        <v>109</v>
      </c>
      <c r="T7" s="4"/>
      <c r="U7" s="4"/>
      <c r="V7" s="4"/>
      <c r="W7" s="4"/>
      <c r="X7" s="4"/>
      <c r="Y7" s="4" t="s">
        <v>109</v>
      </c>
      <c r="Z7" s="4" t="s">
        <v>109</v>
      </c>
      <c r="AA7" s="4"/>
      <c r="AB7" s="4"/>
      <c r="AC7" s="4"/>
      <c r="AD7" s="4"/>
      <c r="AE7" s="4">
        <v>0.0</v>
      </c>
      <c r="AF7" s="4" t="s">
        <v>109</v>
      </c>
      <c r="AG7" s="4" t="s">
        <v>109</v>
      </c>
      <c r="AH7" s="4">
        <v>49500.0</v>
      </c>
      <c r="AI7" s="4">
        <v>11.0</v>
      </c>
      <c r="AJ7" s="4">
        <v>1560.0</v>
      </c>
      <c r="AK7" s="4">
        <v>11.0</v>
      </c>
      <c r="AL7" s="4">
        <v>0.007051282051282051</v>
      </c>
      <c r="AM7" s="4">
        <v>4500.0</v>
      </c>
      <c r="AN7" s="4">
        <v>0.0</v>
      </c>
      <c r="AO7" s="4">
        <v>495.0</v>
      </c>
      <c r="AP7" s="4">
        <v>0.0</v>
      </c>
      <c r="AQ7" s="4">
        <v>3960.0</v>
      </c>
      <c r="AR7" s="4">
        <v>11000.0</v>
      </c>
      <c r="AS7" s="4">
        <v>2.7777777777777777</v>
      </c>
      <c r="AT7" s="4">
        <v>0.08</v>
      </c>
      <c r="AU7" s="4">
        <v>29700.0</v>
      </c>
      <c r="AV7" s="4">
        <v>5500.0</v>
      </c>
      <c r="AW7" s="4">
        <v>0.0</v>
      </c>
      <c r="AX7" s="4">
        <v>60000.0</v>
      </c>
      <c r="AY7" s="4">
        <v>-50155.0</v>
      </c>
      <c r="AZ7" s="4">
        <v>-1.0132323232323233</v>
      </c>
      <c r="BA7" s="4">
        <v>4455.0</v>
      </c>
    </row>
    <row r="8"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>
      <c r="A153" s="4" t="str">
        <f t="array" ref="A153">rakuten_fact_daily_raw!A153
</f>
        <v/>
      </c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>
      <c r="A154" s="4" t="str">
        <f t="array" ref="A154">rakuten_fact_daily_raw!A154
</f>
        <v/>
      </c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>
      <c r="A155" s="4" t="str">
        <f t="array" ref="A155">rakuten_fact_daily_raw!A155
</f>
        <v/>
      </c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>
      <c r="A156" s="4" t="str">
        <f t="array" ref="A156">rakuten_fact_daily_raw!A156
</f>
        <v/>
      </c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>
      <c r="A157" s="4" t="str">
        <f t="array" ref="A157">rakuten_fact_daily_raw!A157
</f>
        <v/>
      </c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>
      <c r="A158" s="4" t="str">
        <f t="array" ref="A158">rakuten_fact_daily_raw!A158
</f>
        <v/>
      </c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>
      <c r="A159" s="4" t="str">
        <f t="array" ref="A159">rakuten_fact_daily_raw!A159
</f>
        <v/>
      </c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>
      <c r="A160" s="4" t="str">
        <f t="array" ref="A160">rakuten_fact_daily_raw!A160
</f>
        <v/>
      </c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>
      <c r="A161" s="4" t="str">
        <f t="array" ref="A161">rakuten_fact_daily_raw!A161
</f>
        <v/>
      </c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>
      <c r="A162" s="4" t="str">
        <f t="array" ref="A162">rakuten_fact_daily_raw!A162
</f>
        <v/>
      </c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>
      <c r="A163" s="4" t="str">
        <f t="array" ref="A163">rakuten_fact_daily_raw!A163
</f>
        <v/>
      </c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>
      <c r="A164" s="4" t="str">
        <f t="array" ref="A164">rakuten_fact_daily_raw!A164
</f>
        <v/>
      </c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>
      <c r="A165" s="4" t="str">
        <f t="array" ref="A165">rakuten_fact_daily_raw!A165
</f>
        <v/>
      </c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>
      <c r="A166" s="4" t="str">
        <f t="array" ref="A166">rakuten_fact_daily_raw!A166
</f>
        <v/>
      </c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>
      <c r="A167" s="4" t="str">
        <f t="array" ref="A167">rakuten_fact_daily_raw!A167
</f>
        <v/>
      </c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>
      <c r="A168" s="4" t="str">
        <f t="array" ref="A168">rakuten_fact_daily_raw!A168
</f>
        <v/>
      </c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>
      <c r="A169" s="4" t="str">
        <f t="array" ref="A169">rakuten_fact_daily_raw!A169
</f>
        <v/>
      </c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>
      <c r="A170" s="4" t="str">
        <f t="array" ref="A170">rakuten_fact_daily_raw!A170
</f>
        <v/>
      </c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>
      <c r="A171" s="4" t="str">
        <f t="array" ref="A171">rakuten_fact_daily_raw!A171
</f>
        <v/>
      </c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>
      <c r="A172" s="4" t="str">
        <f t="array" ref="A172">rakuten_fact_daily_raw!A172
</f>
        <v/>
      </c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>
      <c r="A173" s="4" t="str">
        <f t="array" ref="A173">rakuten_fact_daily_raw!A173
</f>
        <v/>
      </c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>
      <c r="A174" s="4" t="str">
        <f t="array" ref="A174">rakuten_fact_daily_raw!A174
</f>
        <v/>
      </c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>
      <c r="A175" s="4" t="str">
        <f t="array" ref="A175">rakuten_fact_daily_raw!A175
</f>
        <v/>
      </c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>
      <c r="A176" s="4" t="str">
        <f t="array" ref="A176">rakuten_fact_daily_raw!A176
</f>
        <v/>
      </c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>
      <c r="A177" s="4" t="str">
        <f t="array" ref="A177">rakuten_fact_daily_raw!A177
</f>
        <v/>
      </c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>
      <c r="A178" s="4" t="str">
        <f t="array" ref="A178">rakuten_fact_daily_raw!A178
</f>
        <v/>
      </c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>
      <c r="A179" s="4" t="str">
        <f t="array" ref="A179">rakuten_fact_daily_raw!A179
</f>
        <v/>
      </c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>
      <c r="A180" s="4" t="str">
        <f t="array" ref="A180">rakuten_fact_daily_raw!A180
</f>
        <v/>
      </c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>
      <c r="A181" s="4" t="str">
        <f t="array" ref="A181">rakuten_fact_daily_raw!A181
</f>
        <v/>
      </c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>
      <c r="A182" s="4" t="str">
        <f t="array" ref="A182">rakuten_fact_daily_raw!A182
</f>
        <v/>
      </c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>
      <c r="A183" s="4" t="str">
        <f t="array" ref="A183">rakuten_fact_daily_raw!A183
</f>
        <v/>
      </c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>
      <c r="A184" s="4" t="str">
        <f t="array" ref="A184">rakuten_fact_daily_raw!A184
</f>
        <v/>
      </c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>
      <c r="A185" s="4" t="str">
        <f t="array" ref="A185">rakuten_fact_daily_raw!A185
</f>
        <v/>
      </c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>
      <c r="A186" s="4" t="str">
        <f t="array" ref="A186">rakuten_fact_daily_raw!A186
</f>
        <v/>
      </c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>
      <c r="A187" s="4" t="str">
        <f t="array" ref="A187">rakuten_fact_daily_raw!A187
</f>
        <v/>
      </c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>
      <c r="A188" s="4" t="str">
        <f t="array" ref="A188">rakuten_fact_daily_raw!A188
</f>
        <v/>
      </c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>
      <c r="A189" s="4" t="str">
        <f t="array" ref="A189">rakuten_fact_daily_raw!A189
</f>
        <v/>
      </c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>
      <c r="A190" s="4" t="str">
        <f t="array" ref="A190">rakuten_fact_daily_raw!A190
</f>
        <v/>
      </c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>
      <c r="A191" s="4" t="str">
        <f t="array" ref="A191">rakuten_fact_daily_raw!A191
</f>
        <v/>
      </c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>
      <c r="A192" s="4" t="str">
        <f t="array" ref="A192">rakuten_fact_daily_raw!A192
</f>
        <v/>
      </c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>
      <c r="A193" s="4" t="str">
        <f t="array" ref="A193">rakuten_fact_daily_raw!A193
</f>
        <v/>
      </c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>
      <c r="A194" s="4" t="str">
        <f t="array" ref="A194">rakuten_fact_daily_raw!A194
</f>
        <v/>
      </c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>
      <c r="A195" s="4" t="str">
        <f t="array" ref="A195">rakuten_fact_daily_raw!A195
</f>
        <v/>
      </c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>
      <c r="A196" s="4" t="str">
        <f t="array" ref="A196">rakuten_fact_daily_raw!A196
</f>
        <v/>
      </c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>
      <c r="A197" s="4" t="str">
        <f t="array" ref="A197">rakuten_fact_daily_raw!A197
</f>
        <v/>
      </c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>
      <c r="A198" s="4" t="str">
        <f t="array" ref="A198">rakuten_fact_daily_raw!A198
</f>
        <v/>
      </c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>
      <c r="A199" s="4" t="str">
        <f t="array" ref="A199">rakuten_fact_daily_raw!A199
</f>
        <v/>
      </c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>
      <c r="A200" s="4" t="str">
        <f t="array" ref="A200">rakuten_fact_daily_raw!A200
</f>
        <v/>
      </c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>
      <c r="A201" s="4" t="str">
        <f t="array" ref="A201">rakuten_fact_daily_raw!A201
</f>
        <v/>
      </c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>
      <c r="A202" s="4" t="str">
        <f t="array" ref="A202">rakuten_fact_daily_raw!A202
</f>
        <v/>
      </c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>
      <c r="A203" s="4" t="str">
        <f t="array" ref="A203">rakuten_fact_daily_raw!A203
</f>
        <v/>
      </c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>
      <c r="A204" s="4" t="str">
        <f t="array" ref="A204">rakuten_fact_daily_raw!A204
</f>
        <v/>
      </c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>
      <c r="A205" s="4" t="str">
        <f t="array" ref="A205">rakuten_fact_daily_raw!A205
</f>
        <v/>
      </c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>
      <c r="A206" s="4" t="str">
        <f t="array" ref="A206">rakuten_fact_daily_raw!A206
</f>
        <v/>
      </c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>
      <c r="A207" s="4" t="str">
        <f t="array" ref="A207">rakuten_fact_daily_raw!A207
</f>
        <v/>
      </c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>
      <c r="A208" s="4" t="str">
        <f t="array" ref="A208">rakuten_fact_daily_raw!A208
</f>
        <v/>
      </c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>
      <c r="A209" s="4" t="str">
        <f t="array" ref="A209">rakuten_fact_daily_raw!A209
</f>
        <v/>
      </c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>
      <c r="A210" s="4" t="str">
        <f t="array" ref="A210">rakuten_fact_daily_raw!A210
</f>
        <v/>
      </c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>
      <c r="A211" s="4" t="str">
        <f t="array" ref="A211">rakuten_fact_daily_raw!A211
</f>
        <v/>
      </c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>
      <c r="A212" s="4" t="str">
        <f t="array" ref="A212">rakuten_fact_daily_raw!A212
</f>
        <v/>
      </c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>
      <c r="A213" s="4" t="str">
        <f t="array" ref="A213">rakuten_fact_daily_raw!A213
</f>
        <v/>
      </c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>
      <c r="A214" s="4" t="str">
        <f t="array" ref="A214">rakuten_fact_daily_raw!A214
</f>
        <v/>
      </c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>
      <c r="A215" s="4" t="str">
        <f t="array" ref="A215">rakuten_fact_daily_raw!A215
</f>
        <v/>
      </c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>
      <c r="A216" s="4" t="str">
        <f t="array" ref="A216">rakuten_fact_daily_raw!A216
</f>
        <v/>
      </c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>
      <c r="A217" s="4" t="str">
        <f t="array" ref="A217">rakuten_fact_daily_raw!A217
</f>
        <v/>
      </c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>
      <c r="A218" s="4" t="str">
        <f t="array" ref="A218">rakuten_fact_daily_raw!A218
</f>
        <v/>
      </c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>
      <c r="A219" s="4" t="str">
        <f t="array" ref="A219">rakuten_fact_daily_raw!A219
</f>
        <v/>
      </c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>
      <c r="A220" s="4" t="str">
        <f t="array" ref="A220">rakuten_fact_daily_raw!A220
</f>
        <v/>
      </c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>
      <c r="A221" s="4" t="str">
        <f t="array" ref="A221">rakuten_fact_daily_raw!A221
</f>
        <v/>
      </c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>
      <c r="A222" s="4" t="str">
        <f t="array" ref="A222">rakuten_fact_daily_raw!A222
</f>
        <v/>
      </c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>
      <c r="A223" s="4" t="str">
        <f t="array" ref="A223">rakuten_fact_daily_raw!A223
</f>
        <v/>
      </c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>
      <c r="A224" s="4" t="str">
        <f t="array" ref="A224">rakuten_fact_daily_raw!A224
</f>
        <v/>
      </c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>
      <c r="A225" s="4" t="str">
        <f t="array" ref="A225">rakuten_fact_daily_raw!A225
</f>
        <v/>
      </c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>
      <c r="A226" s="4" t="str">
        <f t="array" ref="A226">rakuten_fact_daily_raw!A226
</f>
        <v/>
      </c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>
      <c r="A227" s="4" t="str">
        <f t="array" ref="A227">rakuten_fact_daily_raw!A227
</f>
        <v/>
      </c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>
      <c r="A228" s="4" t="str">
        <f t="array" ref="A228">rakuten_fact_daily_raw!A228
</f>
        <v/>
      </c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>
      <c r="A229" s="4" t="str">
        <f t="array" ref="A229">rakuten_fact_daily_raw!A229
</f>
        <v/>
      </c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>
      <c r="A230" s="4" t="str">
        <f t="array" ref="A230">rakuten_fact_daily_raw!A230
</f>
        <v/>
      </c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>
      <c r="A231" s="4" t="str">
        <f t="array" ref="A231">rakuten_fact_daily_raw!A231
</f>
        <v/>
      </c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>
      <c r="A232" s="4" t="str">
        <f t="array" ref="A232">rakuten_fact_daily_raw!A232
</f>
        <v/>
      </c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>
      <c r="A233" s="4" t="str">
        <f t="array" ref="A233">rakuten_fact_daily_raw!A233
</f>
        <v/>
      </c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>
      <c r="A234" s="4" t="str">
        <f t="array" ref="A234">rakuten_fact_daily_raw!A234
</f>
        <v/>
      </c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>
      <c r="A235" s="4" t="str">
        <f t="array" ref="A235">rakuten_fact_daily_raw!A235
</f>
        <v/>
      </c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>
      <c r="A236" s="4" t="str">
        <f t="array" ref="A236">rakuten_fact_daily_raw!A236
</f>
        <v/>
      </c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>
      <c r="A237" s="4" t="str">
        <f t="array" ref="A237">rakuten_fact_daily_raw!A237
</f>
        <v/>
      </c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>
      <c r="A238" s="4" t="str">
        <f t="array" ref="A238">rakuten_fact_daily_raw!A238
</f>
        <v/>
      </c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>
      <c r="A239" s="4" t="str">
        <f t="array" ref="A239">rakuten_fact_daily_raw!A239
</f>
        <v/>
      </c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>
      <c r="A240" s="4" t="str">
        <f t="array" ref="A240">rakuten_fact_daily_raw!A240
</f>
        <v/>
      </c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>
      <c r="A241" s="4" t="str">
        <f t="array" ref="A241">rakuten_fact_daily_raw!A241
</f>
        <v/>
      </c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>
      <c r="A242" s="4" t="str">
        <f t="array" ref="A242">rakuten_fact_daily_raw!A242
</f>
        <v/>
      </c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>
      <c r="A243" s="4" t="str">
        <f t="array" ref="A243">rakuten_fact_daily_raw!A243
</f>
        <v/>
      </c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>
      <c r="A244" s="4" t="str">
        <f t="array" ref="A244">rakuten_fact_daily_raw!A244
</f>
        <v/>
      </c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>
      <c r="A245" s="4" t="str">
        <f t="array" ref="A245">rakuten_fact_daily_raw!A245
</f>
        <v/>
      </c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>
      <c r="A246" s="4" t="str">
        <f t="array" ref="A246">rakuten_fact_daily_raw!A246
</f>
        <v/>
      </c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>
      <c r="A247" s="4" t="str">
        <f t="array" ref="A247">rakuten_fact_daily_raw!A247
</f>
        <v/>
      </c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>
      <c r="A248" s="4" t="str">
        <f t="array" ref="A248">rakuten_fact_daily_raw!A248
</f>
        <v/>
      </c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>
      <c r="A249" s="4" t="str">
        <f t="array" ref="A249">rakuten_fact_daily_raw!A249
</f>
        <v/>
      </c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>
      <c r="A250" s="4" t="str">
        <f t="array" ref="A250">rakuten_fact_daily_raw!A250
</f>
        <v/>
      </c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>
      <c r="A251" s="4" t="str">
        <f t="array" ref="A251">rakuten_fact_daily_raw!A251
</f>
        <v/>
      </c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>
      <c r="A252" s="4" t="str">
        <f t="array" ref="A252">rakuten_fact_daily_raw!A252
</f>
        <v/>
      </c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>
      <c r="A253" s="4" t="str">
        <f t="array" ref="A253">rakuten_fact_daily_raw!A253
</f>
        <v/>
      </c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>
      <c r="A254" s="4" t="str">
        <f t="array" ref="A254">rakuten_fact_daily_raw!A254
</f>
        <v/>
      </c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>
      <c r="A255" s="4" t="str">
        <f t="array" ref="A255">rakuten_fact_daily_raw!A255
</f>
        <v/>
      </c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>
      <c r="A256" s="4" t="str">
        <f t="array" ref="A256">rakuten_fact_daily_raw!A256
</f>
        <v/>
      </c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>
      <c r="A257" s="4" t="str">
        <f t="array" ref="A257">rakuten_fact_daily_raw!A257
</f>
        <v/>
      </c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>
      <c r="A258" s="4" t="str">
        <f t="array" ref="A258">rakuten_fact_daily_raw!A258
</f>
        <v/>
      </c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>
      <c r="A259" s="4" t="str">
        <f t="array" ref="A259">rakuten_fact_daily_raw!A259
</f>
        <v/>
      </c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>
      <c r="A260" s="4" t="str">
        <f t="array" ref="A260">rakuten_fact_daily_raw!A260
</f>
        <v/>
      </c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>
      <c r="A261" s="4" t="str">
        <f t="array" ref="A261">rakuten_fact_daily_raw!A261
</f>
        <v/>
      </c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>
      <c r="A262" s="4" t="str">
        <f t="array" ref="A262">rakuten_fact_daily_raw!A262
</f>
        <v/>
      </c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>
      <c r="A263" s="4" t="str">
        <f t="array" ref="A263">rakuten_fact_daily_raw!A263
</f>
        <v/>
      </c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>
      <c r="A264" s="4" t="str">
        <f t="array" ref="A264">rakuten_fact_daily_raw!A264
</f>
        <v/>
      </c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>
      <c r="A265" s="4" t="str">
        <f t="array" ref="A265">rakuten_fact_daily_raw!A265
</f>
        <v/>
      </c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>
      <c r="A266" s="4" t="str">
        <f t="array" ref="A266">rakuten_fact_daily_raw!A266
</f>
        <v/>
      </c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>
      <c r="A267" s="4" t="str">
        <f t="array" ref="A267">rakuten_fact_daily_raw!A267
</f>
        <v/>
      </c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>
      <c r="A268" s="4" t="str">
        <f t="array" ref="A268">rakuten_fact_daily_raw!A268
</f>
        <v/>
      </c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>
      <c r="A269" s="4" t="str">
        <f t="array" ref="A269">rakuten_fact_daily_raw!A269
</f>
        <v/>
      </c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>
      <c r="A270" s="4" t="str">
        <f t="array" ref="A270">rakuten_fact_daily_raw!A270
</f>
        <v/>
      </c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>
      <c r="A271" s="4" t="str">
        <f t="array" ref="A271">rakuten_fact_daily_raw!A271
</f>
        <v/>
      </c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>
      <c r="A272" s="4" t="str">
        <f t="array" ref="A272">rakuten_fact_daily_raw!A272
</f>
        <v/>
      </c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>
      <c r="A273" s="4" t="str">
        <f t="array" ref="A273">rakuten_fact_daily_raw!A273
</f>
        <v/>
      </c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>
      <c r="A274" s="4" t="str">
        <f t="array" ref="A274">rakuten_fact_daily_raw!A274
</f>
        <v/>
      </c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>
      <c r="A275" s="4" t="str">
        <f t="array" ref="A275">rakuten_fact_daily_raw!A275
</f>
        <v/>
      </c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>
      <c r="A276" s="4" t="str">
        <f t="array" ref="A276">rakuten_fact_daily_raw!A276
</f>
        <v/>
      </c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>
      <c r="A277" s="4" t="str">
        <f t="array" ref="A277">rakuten_fact_daily_raw!A277
</f>
        <v/>
      </c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>
      <c r="A278" s="4" t="str">
        <f t="array" ref="A278">rakuten_fact_daily_raw!A278
</f>
        <v/>
      </c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>
      <c r="A279" s="4" t="str">
        <f t="array" ref="A279">rakuten_fact_daily_raw!A279
</f>
        <v/>
      </c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>
      <c r="A280" s="4" t="str">
        <f t="array" ref="A280">rakuten_fact_daily_raw!A280
</f>
        <v/>
      </c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>
      <c r="A281" s="4" t="str">
        <f t="array" ref="A281">rakuten_fact_daily_raw!A281
</f>
        <v/>
      </c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>
      <c r="A282" s="4" t="str">
        <f t="array" ref="A282">rakuten_fact_daily_raw!A282
</f>
        <v/>
      </c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>
      <c r="A283" s="4" t="str">
        <f t="array" ref="A283">rakuten_fact_daily_raw!A283
</f>
        <v/>
      </c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>
      <c r="A284" s="4" t="str">
        <f t="array" ref="A284">rakuten_fact_daily_raw!A284
</f>
        <v/>
      </c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>
      <c r="A285" s="4" t="str">
        <f t="array" ref="A285">rakuten_fact_daily_raw!A285
</f>
        <v/>
      </c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>
      <c r="A286" s="4" t="str">
        <f t="array" ref="A286">rakuten_fact_daily_raw!A286
</f>
        <v/>
      </c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>
      <c r="A287" s="4" t="str">
        <f t="array" ref="A287">rakuten_fact_daily_raw!A287
</f>
        <v/>
      </c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>
      <c r="A288" s="4" t="str">
        <f t="array" ref="A288">rakuten_fact_daily_raw!A288
</f>
        <v/>
      </c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>
      <c r="A289" s="4" t="str">
        <f t="array" ref="A289">rakuten_fact_daily_raw!A289
</f>
        <v/>
      </c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>
      <c r="A290" s="4" t="str">
        <f t="array" ref="A290">rakuten_fact_daily_raw!A290
</f>
        <v/>
      </c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>
      <c r="A291" s="4" t="str">
        <f t="array" ref="A291">rakuten_fact_daily_raw!A291
</f>
        <v/>
      </c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>
      <c r="A292" s="4" t="str">
        <f t="array" ref="A292">rakuten_fact_daily_raw!A292
</f>
        <v/>
      </c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>
      <c r="A293" s="4" t="str">
        <f t="array" ref="A293">rakuten_fact_daily_raw!A293
</f>
        <v/>
      </c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>
      <c r="A294" s="4" t="str">
        <f t="array" ref="A294">rakuten_fact_daily_raw!A294
</f>
        <v/>
      </c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>
      <c r="A295" s="4" t="str">
        <f t="array" ref="A295">rakuten_fact_daily_raw!A295
</f>
        <v/>
      </c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>
      <c r="A296" s="4" t="str">
        <f t="array" ref="A296">rakuten_fact_daily_raw!A296
</f>
        <v/>
      </c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>
      <c r="A297" s="4" t="str">
        <f t="array" ref="A297">rakuten_fact_daily_raw!A297
</f>
        <v/>
      </c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>
      <c r="A298" s="4" t="str">
        <f t="array" ref="A298">rakuten_fact_daily_raw!A298
</f>
        <v/>
      </c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>
      <c r="A299" s="4" t="str">
        <f t="array" ref="A299">rakuten_fact_daily_raw!A299
</f>
        <v/>
      </c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>
      <c r="A300" s="4" t="str">
        <f t="array" ref="A300">rakuten_fact_daily_raw!A300
</f>
        <v/>
      </c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>
      <c r="A301" s="4" t="str">
        <f t="array" ref="A301">rakuten_fact_daily_raw!A301
</f>
        <v/>
      </c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>
      <c r="A302" s="4" t="str">
        <f t="array" ref="A302">rakuten_fact_daily_raw!A302
</f>
        <v/>
      </c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>
      <c r="A303" s="4" t="str">
        <f t="array" ref="A303">rakuten_fact_daily_raw!A303
</f>
        <v/>
      </c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>
      <c r="A304" s="4" t="str">
        <f t="array" ref="A304">rakuten_fact_daily_raw!A304
</f>
        <v/>
      </c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>
      <c r="A305" s="4" t="str">
        <f t="array" ref="A305">rakuten_fact_daily_raw!A305
</f>
        <v/>
      </c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>
      <c r="A306" s="4" t="str">
        <f t="array" ref="A306">rakuten_fact_daily_raw!A306
</f>
        <v/>
      </c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>
      <c r="A307" s="4" t="str">
        <f t="array" ref="A307">rakuten_fact_daily_raw!A307
</f>
        <v/>
      </c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>
      <c r="A308" s="4" t="str">
        <f t="array" ref="A308">rakuten_fact_daily_raw!A308
</f>
        <v/>
      </c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>
      <c r="A309" s="4" t="str">
        <f t="array" ref="A309">rakuten_fact_daily_raw!A309
</f>
        <v/>
      </c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>
      <c r="A310" s="4" t="str">
        <f t="array" ref="A310">rakuten_fact_daily_raw!A310
</f>
        <v/>
      </c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>
      <c r="A311" s="4" t="str">
        <f t="array" ref="A311">rakuten_fact_daily_raw!A311
</f>
        <v/>
      </c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>
      <c r="A312" s="4" t="str">
        <f t="array" ref="A312">rakuten_fact_daily_raw!A312
</f>
        <v/>
      </c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>
      <c r="A313" s="4" t="str">
        <f t="array" ref="A313">rakuten_fact_daily_raw!A313
</f>
        <v/>
      </c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>
      <c r="A314" s="4" t="str">
        <f t="array" ref="A314">rakuten_fact_daily_raw!A314
</f>
        <v/>
      </c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>
      <c r="A315" s="4" t="str">
        <f t="array" ref="A315">rakuten_fact_daily_raw!A315
</f>
        <v/>
      </c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>
      <c r="A316" s="4" t="str">
        <f t="array" ref="A316">rakuten_fact_daily_raw!A316
</f>
        <v/>
      </c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>
      <c r="A317" s="4" t="str">
        <f t="array" ref="A317">rakuten_fact_daily_raw!A317
</f>
        <v/>
      </c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>
      <c r="A318" s="4" t="str">
        <f t="array" ref="A318">rakuten_fact_daily_raw!A318
</f>
        <v/>
      </c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>
      <c r="A319" s="4" t="str">
        <f t="array" ref="A319">rakuten_fact_daily_raw!A319
</f>
        <v/>
      </c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>
      <c r="A320" s="4" t="str">
        <f t="array" ref="A320">rakuten_fact_daily_raw!A320
</f>
        <v/>
      </c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>
      <c r="A321" s="4" t="str">
        <f t="array" ref="A321">rakuten_fact_daily_raw!A321
</f>
        <v/>
      </c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>
      <c r="A322" s="4" t="str">
        <f t="array" ref="A322">rakuten_fact_daily_raw!A322
</f>
        <v/>
      </c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>
      <c r="A323" s="4" t="str">
        <f t="array" ref="A323">rakuten_fact_daily_raw!A323
</f>
        <v/>
      </c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>
      <c r="A324" s="4" t="str">
        <f t="array" ref="A324">rakuten_fact_daily_raw!A324
</f>
        <v/>
      </c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>
      <c r="A325" s="4" t="str">
        <f t="array" ref="A325">rakuten_fact_daily_raw!A325
</f>
        <v/>
      </c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>
      <c r="A326" s="4" t="str">
        <f t="array" ref="A326">rakuten_fact_daily_raw!A326
</f>
        <v/>
      </c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>
      <c r="A327" s="4" t="str">
        <f t="array" ref="A327">rakuten_fact_daily_raw!A327
</f>
        <v/>
      </c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>
      <c r="A328" s="4" t="str">
        <f t="array" ref="A328">rakuten_fact_daily_raw!A328
</f>
        <v/>
      </c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>
      <c r="A329" s="4" t="str">
        <f t="array" ref="A329">rakuten_fact_daily_raw!A329
</f>
        <v/>
      </c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>
      <c r="A330" s="4" t="str">
        <f t="array" ref="A330">rakuten_fact_daily_raw!A330
</f>
        <v/>
      </c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>
      <c r="A331" s="4" t="str">
        <f t="array" ref="A331">rakuten_fact_daily_raw!A331
</f>
        <v/>
      </c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>
      <c r="A332" s="4" t="str">
        <f t="array" ref="A332">rakuten_fact_daily_raw!A332
</f>
        <v/>
      </c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>
      <c r="A333" s="4" t="str">
        <f t="array" ref="A333">rakuten_fact_daily_raw!A333
</f>
        <v/>
      </c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>
      <c r="A334" s="4" t="str">
        <f t="array" ref="A334">rakuten_fact_daily_raw!A334
</f>
        <v/>
      </c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>
      <c r="A335" s="4" t="str">
        <f t="array" ref="A335">rakuten_fact_daily_raw!A335
</f>
        <v/>
      </c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>
      <c r="A336" s="4" t="str">
        <f t="array" ref="A336">rakuten_fact_daily_raw!A336
</f>
        <v/>
      </c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>
      <c r="A337" s="4" t="str">
        <f t="array" ref="A337">rakuten_fact_daily_raw!A337
</f>
        <v/>
      </c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>
      <c r="A338" s="4" t="str">
        <f t="array" ref="A338">rakuten_fact_daily_raw!A338
</f>
        <v/>
      </c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>
      <c r="A339" s="4" t="str">
        <f t="array" ref="A339">rakuten_fact_daily_raw!A339
</f>
        <v/>
      </c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>
      <c r="A340" s="4" t="str">
        <f t="array" ref="A340">rakuten_fact_daily_raw!A340
</f>
        <v/>
      </c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>
      <c r="A341" s="4" t="str">
        <f t="array" ref="A341">rakuten_fact_daily_raw!A341
</f>
        <v/>
      </c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>
      <c r="A342" s="4" t="str">
        <f t="array" ref="A342">rakuten_fact_daily_raw!A342
</f>
        <v/>
      </c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>
      <c r="A343" s="4" t="str">
        <f t="array" ref="A343">rakuten_fact_daily_raw!A343
</f>
        <v/>
      </c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>
      <c r="A344" s="4" t="str">
        <f t="array" ref="A344">rakuten_fact_daily_raw!A344
</f>
        <v/>
      </c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>
      <c r="A345" s="4" t="str">
        <f t="array" ref="A345">rakuten_fact_daily_raw!A345
</f>
        <v/>
      </c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>
      <c r="A346" s="4" t="str">
        <f t="array" ref="A346">rakuten_fact_daily_raw!A346
</f>
        <v/>
      </c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>
      <c r="A347" s="4" t="str">
        <f t="array" ref="A347">rakuten_fact_daily_raw!A347
</f>
        <v/>
      </c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>
      <c r="A348" s="4" t="str">
        <f t="array" ref="A348">rakuten_fact_daily_raw!A348
</f>
        <v/>
      </c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>
      <c r="A349" s="4" t="str">
        <f t="array" ref="A349">rakuten_fact_daily_raw!A349
</f>
        <v/>
      </c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>
      <c r="A350" s="4" t="str">
        <f t="array" ref="A350">rakuten_fact_daily_raw!A350
</f>
        <v/>
      </c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>
      <c r="A351" s="4" t="str">
        <f t="array" ref="A351">rakuten_fact_daily_raw!A351
</f>
        <v/>
      </c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>
      <c r="A352" s="4" t="str">
        <f t="array" ref="A352">rakuten_fact_daily_raw!A352
</f>
        <v/>
      </c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>
      <c r="A353" s="4" t="str">
        <f t="array" ref="A353">rakuten_fact_daily_raw!A353
</f>
        <v/>
      </c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>
      <c r="A354" s="4" t="str">
        <f t="array" ref="A354">rakuten_fact_daily_raw!A354
</f>
        <v/>
      </c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>
      <c r="A355" s="4" t="str">
        <f t="array" ref="A355">rakuten_fact_daily_raw!A355
</f>
        <v/>
      </c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>
      <c r="A356" s="4" t="str">
        <f t="array" ref="A356">rakuten_fact_daily_raw!A356
</f>
        <v/>
      </c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>
      <c r="A357" s="4" t="str">
        <f t="array" ref="A357">rakuten_fact_daily_raw!A357
</f>
        <v/>
      </c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>
      <c r="A358" s="4" t="str">
        <f t="array" ref="A358">rakuten_fact_daily_raw!A358
</f>
        <v/>
      </c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>
      <c r="A359" s="4" t="str">
        <f t="array" ref="A359">rakuten_fact_daily_raw!A359
</f>
        <v/>
      </c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>
      <c r="A360" s="4" t="str">
        <f t="array" ref="A360">rakuten_fact_daily_raw!A360
</f>
        <v/>
      </c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>
      <c r="A361" s="4" t="str">
        <f t="array" ref="A361">rakuten_fact_daily_raw!A361
</f>
        <v/>
      </c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>
      <c r="A362" s="4" t="str">
        <f t="array" ref="A362">rakuten_fact_daily_raw!A362
</f>
        <v/>
      </c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>
      <c r="A363" s="4" t="str">
        <f t="array" ref="A363">rakuten_fact_daily_raw!A363
</f>
        <v/>
      </c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>
      <c r="A364" s="4" t="str">
        <f t="array" ref="A364">rakuten_fact_daily_raw!A364
</f>
        <v/>
      </c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>
      <c r="A365" s="4" t="str">
        <f t="array" ref="A365">rakuten_fact_daily_raw!A365
</f>
        <v/>
      </c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>
      <c r="A366" s="4" t="str">
        <f t="array" ref="A366">rakuten_fact_daily_raw!A366
</f>
        <v/>
      </c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>
      <c r="A367" s="4" t="str">
        <f t="array" ref="A367">rakuten_fact_daily_raw!A367
</f>
        <v/>
      </c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>
      <c r="A368" s="4" t="str">
        <f t="array" ref="A368">rakuten_fact_daily_raw!A368
</f>
        <v/>
      </c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>
      <c r="A369" s="4" t="str">
        <f t="array" ref="A369">rakuten_fact_daily_raw!A369
</f>
        <v/>
      </c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>
      <c r="A370" s="4" t="str">
        <f t="array" ref="A370">rakuten_fact_daily_raw!A370
</f>
        <v/>
      </c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>
      <c r="A371" s="4" t="str">
        <f t="array" ref="A371">rakuten_fact_daily_raw!A371
</f>
        <v/>
      </c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>
      <c r="A372" s="4" t="str">
        <f t="array" ref="A372">rakuten_fact_daily_raw!A372
</f>
        <v/>
      </c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>
      <c r="A373" s="4" t="str">
        <f t="array" ref="A373">rakuten_fact_daily_raw!A373
</f>
        <v/>
      </c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>
      <c r="A374" s="4" t="str">
        <f t="array" ref="A374">rakuten_fact_daily_raw!A374
</f>
        <v/>
      </c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>
      <c r="A375" s="4" t="str">
        <f t="array" ref="A375">rakuten_fact_daily_raw!A375
</f>
        <v/>
      </c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>
      <c r="A376" s="4" t="str">
        <f t="array" ref="A376">rakuten_fact_daily_raw!A376
</f>
        <v/>
      </c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>
      <c r="A377" s="4" t="str">
        <f t="array" ref="A377">rakuten_fact_daily_raw!A377
</f>
        <v/>
      </c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>
      <c r="A378" s="4" t="str">
        <f t="array" ref="A378">rakuten_fact_daily_raw!A378
</f>
        <v/>
      </c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>
      <c r="A379" s="4" t="str">
        <f t="array" ref="A379">rakuten_fact_daily_raw!A379
</f>
        <v/>
      </c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>
      <c r="A380" s="4" t="str">
        <f t="array" ref="A380">rakuten_fact_daily_raw!A380
</f>
        <v/>
      </c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>
      <c r="A381" s="4" t="str">
        <f t="array" ref="A381">rakuten_fact_daily_raw!A381
</f>
        <v/>
      </c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>
      <c r="A382" s="4" t="str">
        <f t="array" ref="A382">rakuten_fact_daily_raw!A382
</f>
        <v/>
      </c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>
      <c r="A383" s="4" t="str">
        <f t="array" ref="A383">rakuten_fact_daily_raw!A383
</f>
        <v/>
      </c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>
      <c r="A384" s="4" t="str">
        <f t="array" ref="A384">rakuten_fact_daily_raw!A384
</f>
        <v/>
      </c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>
      <c r="A385" s="4" t="str">
        <f t="array" ref="A385">rakuten_fact_daily_raw!A385
</f>
        <v/>
      </c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>
      <c r="A386" s="4" t="str">
        <f t="array" ref="A386">rakuten_fact_daily_raw!A386
</f>
        <v/>
      </c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>
      <c r="A387" s="4" t="str">
        <f t="array" ref="A387">rakuten_fact_daily_raw!A387
</f>
        <v/>
      </c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>
      <c r="A388" s="4" t="str">
        <f t="array" ref="A388">rakuten_fact_daily_raw!A388
</f>
        <v/>
      </c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>
      <c r="A389" s="4" t="str">
        <f t="array" ref="A389">rakuten_fact_daily_raw!A389
</f>
        <v/>
      </c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>
      <c r="A390" s="4" t="str">
        <f t="array" ref="A390">rakuten_fact_daily_raw!A390
</f>
        <v/>
      </c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>
      <c r="A391" s="4" t="str">
        <f t="array" ref="A391">rakuten_fact_daily_raw!A391
</f>
        <v/>
      </c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>
      <c r="A392" s="4" t="str">
        <f t="array" ref="A392">rakuten_fact_daily_raw!A392
</f>
        <v/>
      </c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>
      <c r="A393" s="4" t="str">
        <f t="array" ref="A393">rakuten_fact_daily_raw!A393
</f>
        <v/>
      </c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>
      <c r="A394" s="4" t="str">
        <f t="array" ref="A394">rakuten_fact_daily_raw!A394
</f>
        <v/>
      </c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>
      <c r="A395" s="4" t="str">
        <f t="array" ref="A395">rakuten_fact_daily_raw!A395
</f>
        <v/>
      </c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>
      <c r="A396" s="4" t="str">
        <f t="array" ref="A396">rakuten_fact_daily_raw!A396
</f>
        <v/>
      </c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>
      <c r="A397" s="4" t="str">
        <f t="array" ref="A397">rakuten_fact_daily_raw!A397
</f>
        <v/>
      </c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>
      <c r="A398" s="4" t="str">
        <f t="array" ref="A398">rakuten_fact_daily_raw!A398
</f>
        <v/>
      </c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>
      <c r="A399" s="4" t="str">
        <f t="array" ref="A399">rakuten_fact_daily_raw!A399
</f>
        <v/>
      </c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>
      <c r="A400" s="4" t="str">
        <f t="array" ref="A400">rakuten_fact_daily_raw!A400
</f>
        <v/>
      </c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>
      <c r="A401" s="4" t="str">
        <f t="array" ref="A401">rakuten_fact_daily_raw!A401
</f>
        <v/>
      </c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>
      <c r="A402" s="4" t="str">
        <f t="array" ref="A402">rakuten_fact_daily_raw!A402
</f>
        <v/>
      </c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>
      <c r="A403" s="4" t="str">
        <f t="array" ref="A403">rakuten_fact_daily_raw!A403
</f>
        <v/>
      </c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>
      <c r="A404" s="4" t="str">
        <f t="array" ref="A404">rakuten_fact_daily_raw!A404
</f>
        <v/>
      </c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>
      <c r="A405" s="4" t="str">
        <f t="array" ref="A405">rakuten_fact_daily_raw!A405
</f>
        <v/>
      </c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>
      <c r="A406" s="4" t="str">
        <f t="array" ref="A406">rakuten_fact_daily_raw!A406
</f>
        <v/>
      </c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>
      <c r="A407" s="4" t="str">
        <f t="array" ref="A407">rakuten_fact_daily_raw!A407
</f>
        <v/>
      </c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>
      <c r="A408" s="4" t="str">
        <f t="array" ref="A408">rakuten_fact_daily_raw!A408
</f>
        <v/>
      </c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>
      <c r="A409" s="4" t="str">
        <f t="array" ref="A409">rakuten_fact_daily_raw!A409
</f>
        <v/>
      </c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>
      <c r="A410" s="4" t="str">
        <f t="array" ref="A410">rakuten_fact_daily_raw!A410
</f>
        <v/>
      </c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>
      <c r="A411" s="4" t="str">
        <f t="array" ref="A411">rakuten_fact_daily_raw!A411
</f>
        <v/>
      </c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>
      <c r="A412" s="4" t="str">
        <f t="array" ref="A412">rakuten_fact_daily_raw!A412
</f>
        <v/>
      </c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>
      <c r="A413" s="4" t="str">
        <f t="array" ref="A413">rakuten_fact_daily_raw!A413
</f>
        <v/>
      </c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>
      <c r="A414" s="4" t="str">
        <f t="array" ref="A414">rakuten_fact_daily_raw!A414
</f>
        <v/>
      </c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>
      <c r="A415" s="4" t="str">
        <f t="array" ref="A415">rakuten_fact_daily_raw!A415
</f>
        <v/>
      </c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>
      <c r="A416" s="4" t="str">
        <f t="array" ref="A416">rakuten_fact_daily_raw!A416
</f>
        <v/>
      </c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>
      <c r="A417" s="4" t="str">
        <f t="array" ref="A417">rakuten_fact_daily_raw!A417
</f>
        <v/>
      </c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>
      <c r="A418" s="4" t="str">
        <f t="array" ref="A418">rakuten_fact_daily_raw!A418
</f>
        <v/>
      </c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>
      <c r="A419" s="4" t="str">
        <f t="array" ref="A419">rakuten_fact_daily_raw!A419
</f>
        <v/>
      </c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>
      <c r="A420" s="4" t="str">
        <f t="array" ref="A420">rakuten_fact_daily_raw!A420
</f>
        <v/>
      </c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>
      <c r="A421" s="4" t="str">
        <f t="array" ref="A421">rakuten_fact_daily_raw!A421
</f>
        <v/>
      </c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>
      <c r="A422" s="4" t="str">
        <f t="array" ref="A422">rakuten_fact_daily_raw!A422
</f>
        <v/>
      </c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>
      <c r="A423" s="4" t="str">
        <f t="array" ref="A423">rakuten_fact_daily_raw!A423
</f>
        <v/>
      </c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>
      <c r="A424" s="4" t="str">
        <f t="array" ref="A424">rakuten_fact_daily_raw!A424
</f>
        <v/>
      </c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>
      <c r="A425" s="4" t="str">
        <f t="array" ref="A425">rakuten_fact_daily_raw!A425
</f>
        <v/>
      </c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>
      <c r="A426" s="4" t="str">
        <f t="array" ref="A426">rakuten_fact_daily_raw!A426
</f>
        <v/>
      </c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>
      <c r="A427" s="4" t="str">
        <f t="array" ref="A427">rakuten_fact_daily_raw!A427
</f>
        <v/>
      </c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>
      <c r="A428" s="4" t="str">
        <f t="array" ref="A428">rakuten_fact_daily_raw!A428
</f>
        <v/>
      </c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>
      <c r="A429" s="4" t="str">
        <f t="array" ref="A429">rakuten_fact_daily_raw!A429
</f>
        <v/>
      </c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>
      <c r="A430" s="4" t="str">
        <f t="array" ref="A430">rakuten_fact_daily_raw!A430
</f>
        <v/>
      </c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>
      <c r="A431" s="4" t="str">
        <f t="array" ref="A431">rakuten_fact_daily_raw!A431
</f>
        <v/>
      </c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>
      <c r="A432" s="4" t="str">
        <f t="array" ref="A432">rakuten_fact_daily_raw!A432
</f>
        <v/>
      </c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>
      <c r="A433" s="4" t="str">
        <f t="array" ref="A433">rakuten_fact_daily_raw!A433
</f>
        <v/>
      </c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>
      <c r="A434" s="4" t="str">
        <f t="array" ref="A434">rakuten_fact_daily_raw!A434
</f>
        <v/>
      </c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>
      <c r="A435" s="4" t="str">
        <f t="array" ref="A435">rakuten_fact_daily_raw!A435
</f>
        <v/>
      </c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>
      <c r="A436" s="4" t="str">
        <f t="array" ref="A436">rakuten_fact_daily_raw!A436
</f>
        <v/>
      </c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>
      <c r="A437" s="4" t="str">
        <f t="array" ref="A437">rakuten_fact_daily_raw!A437
</f>
        <v/>
      </c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>
      <c r="A438" s="4" t="str">
        <f t="array" ref="A438">rakuten_fact_daily_raw!A438
</f>
        <v/>
      </c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>
      <c r="A439" s="4" t="str">
        <f t="array" ref="A439">rakuten_fact_daily_raw!A439
</f>
        <v/>
      </c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>
      <c r="A440" s="4" t="str">
        <f t="array" ref="A440">rakuten_fact_daily_raw!A440
</f>
        <v/>
      </c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>
      <c r="A441" s="4" t="str">
        <f t="array" ref="A441">rakuten_fact_daily_raw!A441
</f>
        <v/>
      </c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>
      <c r="A442" s="4" t="str">
        <f t="array" ref="A442">rakuten_fact_daily_raw!A442
</f>
        <v/>
      </c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>
      <c r="A443" s="4" t="str">
        <f t="array" ref="A443">rakuten_fact_daily_raw!A443
</f>
        <v/>
      </c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>
      <c r="A444" s="4" t="str">
        <f t="array" ref="A444">rakuten_fact_daily_raw!A444
</f>
        <v/>
      </c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>
      <c r="A445" s="4" t="str">
        <f t="array" ref="A445">rakuten_fact_daily_raw!A445
</f>
        <v/>
      </c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>
      <c r="A446" s="4" t="str">
        <f t="array" ref="A446">rakuten_fact_daily_raw!A446
</f>
        <v/>
      </c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>
      <c r="A447" s="4" t="str">
        <f t="array" ref="A447">rakuten_fact_daily_raw!A447
</f>
        <v/>
      </c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>
      <c r="A448" s="4" t="str">
        <f t="array" ref="A448">rakuten_fact_daily_raw!A448
</f>
        <v/>
      </c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>
      <c r="A449" s="4" t="str">
        <f t="array" ref="A449">rakuten_fact_daily_raw!A449
</f>
        <v/>
      </c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>
      <c r="A450" s="4" t="str">
        <f t="array" ref="A450">rakuten_fact_daily_raw!A450
</f>
        <v/>
      </c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>
      <c r="A451" s="4" t="str">
        <f t="array" ref="A451">rakuten_fact_daily_raw!A451
</f>
        <v/>
      </c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>
      <c r="A452" s="4" t="str">
        <f t="array" ref="A452">rakuten_fact_daily_raw!A452
</f>
        <v/>
      </c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>
      <c r="A453" s="4" t="str">
        <f t="array" ref="A453">rakuten_fact_daily_raw!A453
</f>
        <v/>
      </c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>
      <c r="A454" s="4" t="str">
        <f t="array" ref="A454">rakuten_fact_daily_raw!A454
</f>
        <v/>
      </c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>
      <c r="A455" s="4" t="str">
        <f t="array" ref="A455">rakuten_fact_daily_raw!A455
</f>
        <v/>
      </c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>
      <c r="A456" s="4" t="str">
        <f t="array" ref="A456">rakuten_fact_daily_raw!A456
</f>
        <v/>
      </c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>
      <c r="A457" s="4" t="str">
        <f t="array" ref="A457">rakuten_fact_daily_raw!A457
</f>
        <v/>
      </c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>
      <c r="A458" s="4" t="str">
        <f t="array" ref="A458">rakuten_fact_daily_raw!A458
</f>
        <v/>
      </c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>
      <c r="A459" s="4" t="str">
        <f t="array" ref="A459">rakuten_fact_daily_raw!A459
</f>
        <v/>
      </c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>
      <c r="A460" s="4" t="str">
        <f t="array" ref="A460">rakuten_fact_daily_raw!A460
</f>
        <v/>
      </c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>
      <c r="A461" s="4" t="str">
        <f t="array" ref="A461">rakuten_fact_daily_raw!A461
</f>
        <v/>
      </c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>
      <c r="A462" s="4" t="str">
        <f t="array" ref="A462">rakuten_fact_daily_raw!A462
</f>
        <v/>
      </c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>
      <c r="A463" s="4" t="str">
        <f t="array" ref="A463">rakuten_fact_daily_raw!A463
</f>
        <v/>
      </c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>
      <c r="A464" s="4" t="str">
        <f t="array" ref="A464">rakuten_fact_daily_raw!A464
</f>
        <v/>
      </c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>
      <c r="A465" s="4" t="str">
        <f t="array" ref="A465">rakuten_fact_daily_raw!A465
</f>
        <v/>
      </c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>
      <c r="A466" s="4" t="str">
        <f t="array" ref="A466">rakuten_fact_daily_raw!A466
</f>
        <v/>
      </c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>
      <c r="A467" s="4" t="str">
        <f t="array" ref="A467">rakuten_fact_daily_raw!A467
</f>
        <v/>
      </c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>
      <c r="A468" s="4" t="str">
        <f t="array" ref="A468">rakuten_fact_daily_raw!A468
</f>
        <v/>
      </c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>
      <c r="A469" s="4" t="str">
        <f t="array" ref="A469">rakuten_fact_daily_raw!A469
</f>
        <v/>
      </c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>
      <c r="A470" s="4" t="str">
        <f t="array" ref="A470">rakuten_fact_daily_raw!A470
</f>
        <v/>
      </c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>
      <c r="A471" s="4" t="str">
        <f t="array" ref="A471">rakuten_fact_daily_raw!A471
</f>
        <v/>
      </c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>
      <c r="A472" s="4" t="str">
        <f t="array" ref="A472">rakuten_fact_daily_raw!A472
</f>
        <v/>
      </c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>
      <c r="A473" s="4" t="str">
        <f t="array" ref="A473">rakuten_fact_daily_raw!A473
</f>
        <v/>
      </c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>
      <c r="A474" s="4" t="str">
        <f t="array" ref="A474">rakuten_fact_daily_raw!A474
</f>
        <v/>
      </c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>
      <c r="A475" s="4" t="str">
        <f t="array" ref="A475">rakuten_fact_daily_raw!A475
</f>
        <v/>
      </c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>
      <c r="A476" s="4" t="str">
        <f t="array" ref="A476">rakuten_fact_daily_raw!A476
</f>
        <v/>
      </c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>
      <c r="A477" s="4" t="str">
        <f t="array" ref="A477">rakuten_fact_daily_raw!A477
</f>
        <v/>
      </c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>
      <c r="A478" s="4" t="str">
        <f t="array" ref="A478">rakuten_fact_daily_raw!A478
</f>
        <v/>
      </c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>
      <c r="A479" s="4" t="str">
        <f t="array" ref="A479">rakuten_fact_daily_raw!A479
</f>
        <v/>
      </c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>
      <c r="A480" s="4" t="str">
        <f t="array" ref="A480">rakuten_fact_daily_raw!A480
</f>
        <v/>
      </c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>
      <c r="A481" s="4" t="str">
        <f t="array" ref="A481">rakuten_fact_daily_raw!A481
</f>
        <v/>
      </c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>
      <c r="A482" s="4" t="str">
        <f t="array" ref="A482">rakuten_fact_daily_raw!A482
</f>
        <v/>
      </c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>
      <c r="A483" s="4" t="str">
        <f t="array" ref="A483">rakuten_fact_daily_raw!A483
</f>
        <v/>
      </c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>
      <c r="A484" s="4" t="str">
        <f t="array" ref="A484">rakuten_fact_daily_raw!A484
</f>
        <v/>
      </c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>
      <c r="A485" s="4" t="str">
        <f t="array" ref="A485">rakuten_fact_daily_raw!A485
</f>
        <v/>
      </c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>
      <c r="A486" s="4" t="str">
        <f t="array" ref="A486">rakuten_fact_daily_raw!A486
</f>
        <v/>
      </c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>
      <c r="A487" s="4" t="str">
        <f t="array" ref="A487">rakuten_fact_daily_raw!A487
</f>
        <v/>
      </c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>
      <c r="A488" s="4" t="str">
        <f t="array" ref="A488">rakuten_fact_daily_raw!A488
</f>
        <v/>
      </c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>
      <c r="A489" s="4" t="str">
        <f t="array" ref="A489">rakuten_fact_daily_raw!A489
</f>
        <v/>
      </c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>
      <c r="A490" s="4" t="str">
        <f t="array" ref="A490">rakuten_fact_daily_raw!A490
</f>
        <v/>
      </c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>
      <c r="A491" s="4" t="str">
        <f t="array" ref="A491">rakuten_fact_daily_raw!A491
</f>
        <v/>
      </c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>
      <c r="A492" s="4" t="str">
        <f t="array" ref="A492">rakuten_fact_daily_raw!A492
</f>
        <v/>
      </c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>
      <c r="A493" s="4" t="str">
        <f t="array" ref="A493">rakuten_fact_daily_raw!A493
</f>
        <v/>
      </c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>
      <c r="A494" s="4" t="str">
        <f t="array" ref="A494">rakuten_fact_daily_raw!A494
</f>
        <v/>
      </c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>
      <c r="A495" s="4" t="str">
        <f t="array" ref="A495">rakuten_fact_daily_raw!A495
</f>
        <v/>
      </c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>
      <c r="A496" s="4" t="str">
        <f t="array" ref="A496">rakuten_fact_daily_raw!A496
</f>
        <v/>
      </c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>
      <c r="A497" s="4" t="str">
        <f t="array" ref="A497">rakuten_fact_daily_raw!A497
</f>
        <v/>
      </c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>
      <c r="A498" s="4" t="str">
        <f t="array" ref="A498">rakuten_fact_daily_raw!A498
</f>
        <v/>
      </c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>
      <c r="A499" s="4" t="str">
        <f t="array" ref="A499">rakuten_fact_daily_raw!A499
</f>
        <v/>
      </c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>
      <c r="A500" s="4" t="str">
        <f t="array" ref="A500">rakuten_fact_daily_raw!A500
</f>
        <v/>
      </c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>
      <c r="A501" s="4" t="str">
        <f t="array" ref="A501">rakuten_fact_daily_raw!A501
</f>
        <v/>
      </c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>
      <c r="A502" s="4" t="str">
        <f t="array" ref="A502">rakuten_fact_daily_raw!A502
</f>
        <v/>
      </c>
      <c r="C502" s="4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>
      <c r="A503" s="4" t="str">
        <f t="array" ref="A503">rakuten_fact_daily_raw!A503
</f>
        <v/>
      </c>
      <c r="C503" s="4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>
      <c r="A504" s="4" t="str">
        <f t="array" ref="A504">rakuten_fact_daily_raw!A504
</f>
        <v/>
      </c>
      <c r="C504" s="4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>
      <c r="A505" s="4" t="str">
        <f t="array" ref="A505">rakuten_fact_daily_raw!A505
</f>
        <v/>
      </c>
      <c r="C505" s="4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>
      <c r="A506" s="4" t="str">
        <f t="array" ref="A506">rakuten_fact_daily_raw!A506
</f>
        <v/>
      </c>
      <c r="C506" s="4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>
      <c r="A507" s="4" t="str">
        <f t="array" ref="A507">rakuten_fact_daily_raw!A507
</f>
        <v/>
      </c>
      <c r="C507" s="4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>
      <c r="A508" s="4" t="str">
        <f t="array" ref="A508">rakuten_fact_daily_raw!A508
</f>
        <v/>
      </c>
      <c r="C508" s="4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>
      <c r="A509" s="4" t="str">
        <f t="array" ref="A509">rakuten_fact_daily_raw!A509
</f>
        <v/>
      </c>
      <c r="C509" s="4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>
      <c r="A510" s="4" t="str">
        <f t="array" ref="A510">rakuten_fact_daily_raw!A510
</f>
        <v/>
      </c>
      <c r="C510" s="4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>
      <c r="A511" s="4" t="str">
        <f t="array" ref="A511">rakuten_fact_daily_raw!A511
</f>
        <v/>
      </c>
      <c r="C511" s="4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>
      <c r="A512" s="4" t="str">
        <f t="array" ref="A512">rakuten_fact_daily_raw!A512
</f>
        <v/>
      </c>
      <c r="C512" s="4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>
      <c r="A513" s="4" t="str">
        <f t="array" ref="A513">rakuten_fact_daily_raw!A513
</f>
        <v/>
      </c>
      <c r="C513" s="4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>
      <c r="A514" s="4" t="str">
        <f t="array" ref="A514">rakuten_fact_daily_raw!A514
</f>
        <v/>
      </c>
      <c r="C514" s="4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>
      <c r="A515" s="4" t="str">
        <f t="array" ref="A515">rakuten_fact_daily_raw!A515
</f>
        <v/>
      </c>
      <c r="C515" s="4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>
      <c r="A516" s="4" t="str">
        <f t="array" ref="A516">rakuten_fact_daily_raw!A516
</f>
        <v/>
      </c>
      <c r="C516" s="4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>
      <c r="A517" s="4" t="str">
        <f t="array" ref="A517">rakuten_fact_daily_raw!A517
</f>
        <v/>
      </c>
      <c r="C517" s="4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>
      <c r="A518" s="4" t="str">
        <f t="array" ref="A518">rakuten_fact_daily_raw!A518
</f>
        <v/>
      </c>
      <c r="C518" s="4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>
      <c r="A519" s="4" t="str">
        <f t="array" ref="A519">rakuten_fact_daily_raw!A519
</f>
        <v/>
      </c>
      <c r="C519" s="4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>
      <c r="A520" s="4" t="str">
        <f t="array" ref="A520">rakuten_fact_daily_raw!A520
</f>
        <v/>
      </c>
      <c r="C520" s="4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>
      <c r="A521" s="4" t="str">
        <f t="array" ref="A521">rakuten_fact_daily_raw!A521
</f>
        <v/>
      </c>
      <c r="C521" s="4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>
      <c r="A522" s="4" t="str">
        <f t="array" ref="A522">rakuten_fact_daily_raw!A522
</f>
        <v/>
      </c>
      <c r="C522" s="4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>
      <c r="A523" s="4" t="str">
        <f t="array" ref="A523">rakuten_fact_daily_raw!A523
</f>
        <v/>
      </c>
      <c r="C523" s="4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>
      <c r="A524" s="4" t="str">
        <f t="array" ref="A524">rakuten_fact_daily_raw!A524
</f>
        <v/>
      </c>
      <c r="C524" s="4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>
      <c r="A525" s="4" t="str">
        <f t="array" ref="A525">rakuten_fact_daily_raw!A525
</f>
        <v/>
      </c>
      <c r="C525" s="4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>
      <c r="A526" s="4" t="str">
        <f t="array" ref="A526">rakuten_fact_daily_raw!A526
</f>
        <v/>
      </c>
      <c r="C526" s="4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>
      <c r="A527" s="4" t="str">
        <f t="array" ref="A527">rakuten_fact_daily_raw!A527
</f>
        <v/>
      </c>
      <c r="C527" s="4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>
      <c r="A528" s="4" t="str">
        <f t="array" ref="A528">rakuten_fact_daily_raw!A528
</f>
        <v/>
      </c>
      <c r="C528" s="4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>
      <c r="A529" s="4" t="str">
        <f t="array" ref="A529">rakuten_fact_daily_raw!A529
</f>
        <v/>
      </c>
      <c r="C529" s="4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>
      <c r="A530" s="4" t="str">
        <f t="array" ref="A530">rakuten_fact_daily_raw!A530
</f>
        <v/>
      </c>
      <c r="C530" s="4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>
      <c r="A531" s="4" t="str">
        <f t="array" ref="A531">rakuten_fact_daily_raw!A531
</f>
        <v/>
      </c>
      <c r="C531" s="4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>
      <c r="A532" s="4" t="str">
        <f t="array" ref="A532">rakuten_fact_daily_raw!A532
</f>
        <v/>
      </c>
      <c r="C532" s="4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>
      <c r="A533" s="4" t="str">
        <f t="array" ref="A533">rakuten_fact_daily_raw!A533
</f>
        <v/>
      </c>
      <c r="C533" s="4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>
      <c r="A534" s="4" t="str">
        <f t="array" ref="A534">rakuten_fact_daily_raw!A534
</f>
        <v/>
      </c>
      <c r="C534" s="4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>
      <c r="A535" s="4" t="str">
        <f t="array" ref="A535">rakuten_fact_daily_raw!A535
</f>
        <v/>
      </c>
      <c r="C535" s="4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>
      <c r="A536" s="4" t="str">
        <f t="array" ref="A536">rakuten_fact_daily_raw!A536
</f>
        <v/>
      </c>
      <c r="C536" s="4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>
      <c r="A537" s="4" t="str">
        <f t="array" ref="A537">rakuten_fact_daily_raw!A537
</f>
        <v/>
      </c>
      <c r="C537" s="4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>
      <c r="A538" s="4" t="str">
        <f t="array" ref="A538">rakuten_fact_daily_raw!A538
</f>
        <v/>
      </c>
      <c r="C538" s="4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>
      <c r="A539" s="4" t="str">
        <f t="array" ref="A539">rakuten_fact_daily_raw!A539
</f>
        <v/>
      </c>
      <c r="C539" s="4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>
      <c r="A540" s="4" t="str">
        <f t="array" ref="A540">rakuten_fact_daily_raw!A540
</f>
        <v/>
      </c>
      <c r="C540" s="4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>
      <c r="A541" s="4" t="str">
        <f t="array" ref="A541">rakuten_fact_daily_raw!A541
</f>
        <v/>
      </c>
      <c r="C541" s="4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>
      <c r="A542" s="4" t="str">
        <f t="array" ref="A542">rakuten_fact_daily_raw!A542
</f>
        <v/>
      </c>
      <c r="C542" s="4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>
      <c r="A543" s="4" t="str">
        <f t="array" ref="A543">rakuten_fact_daily_raw!A543
</f>
        <v/>
      </c>
      <c r="C543" s="4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>
      <c r="A544" s="4" t="str">
        <f t="array" ref="A544">rakuten_fact_daily_raw!A544
</f>
        <v/>
      </c>
      <c r="C544" s="4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>
      <c r="A545" s="4" t="str">
        <f t="array" ref="A545">rakuten_fact_daily_raw!A545
</f>
        <v/>
      </c>
      <c r="C545" s="4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>
      <c r="A546" s="4" t="str">
        <f t="array" ref="A546">rakuten_fact_daily_raw!A546
</f>
        <v/>
      </c>
      <c r="C546" s="4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>
      <c r="A547" s="4" t="str">
        <f t="array" ref="A547">rakuten_fact_daily_raw!A547
</f>
        <v/>
      </c>
      <c r="C547" s="4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>
      <c r="A548" s="4" t="str">
        <f t="array" ref="A548">rakuten_fact_daily_raw!A548
</f>
        <v/>
      </c>
      <c r="C548" s="4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>
      <c r="A549" s="4" t="str">
        <f t="array" ref="A549">rakuten_fact_daily_raw!A549
</f>
        <v/>
      </c>
      <c r="C549" s="4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>
      <c r="A550" s="4" t="str">
        <f t="array" ref="A550">rakuten_fact_daily_raw!A550
</f>
        <v/>
      </c>
      <c r="C550" s="4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>
      <c r="A551" s="4" t="str">
        <f t="array" ref="A551">rakuten_fact_daily_raw!A551
</f>
        <v/>
      </c>
      <c r="C551" s="4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>
      <c r="A552" s="4" t="str">
        <f t="array" ref="A552">rakuten_fact_daily_raw!A552
</f>
        <v/>
      </c>
      <c r="C552" s="4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>
      <c r="A553" s="4" t="str">
        <f t="array" ref="A553">rakuten_fact_daily_raw!A553
</f>
        <v/>
      </c>
      <c r="C553" s="4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>
      <c r="A554" s="4" t="str">
        <f t="array" ref="A554">rakuten_fact_daily_raw!A554
</f>
        <v/>
      </c>
      <c r="C554" s="4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>
      <c r="A555" s="4" t="str">
        <f t="array" ref="A555">rakuten_fact_daily_raw!A555
</f>
        <v/>
      </c>
      <c r="C555" s="4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>
      <c r="A556" s="4" t="str">
        <f t="array" ref="A556">rakuten_fact_daily_raw!A556
</f>
        <v/>
      </c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>
      <c r="A557" s="4" t="str">
        <f t="array" ref="A557">rakuten_fact_daily_raw!A557
</f>
        <v/>
      </c>
      <c r="C557" s="4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>
      <c r="A558" s="4" t="str">
        <f t="array" ref="A558">rakuten_fact_daily_raw!A558
</f>
        <v/>
      </c>
      <c r="C558" s="4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>
      <c r="A559" s="4" t="str">
        <f t="array" ref="A559">rakuten_fact_daily_raw!A559
</f>
        <v/>
      </c>
      <c r="C559" s="4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>
      <c r="A560" s="4" t="str">
        <f t="array" ref="A560">rakuten_fact_daily_raw!A560
</f>
        <v/>
      </c>
      <c r="C560" s="4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>
      <c r="A561" s="4" t="str">
        <f t="array" ref="A561">rakuten_fact_daily_raw!A561
</f>
        <v/>
      </c>
      <c r="C561" s="4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>
      <c r="A562" s="4" t="str">
        <f t="array" ref="A562">rakuten_fact_daily_raw!A562
</f>
        <v/>
      </c>
      <c r="C562" s="4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>
      <c r="A563" s="4" t="str">
        <f t="array" ref="A563">rakuten_fact_daily_raw!A563
</f>
        <v/>
      </c>
      <c r="C563" s="4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>
      <c r="A564" s="4" t="str">
        <f t="array" ref="A564">rakuten_fact_daily_raw!A564
</f>
        <v/>
      </c>
      <c r="C564" s="4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>
      <c r="A565" s="4" t="str">
        <f t="array" ref="A565">rakuten_fact_daily_raw!A565
</f>
        <v/>
      </c>
      <c r="C565" s="4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>
      <c r="A566" s="4" t="str">
        <f t="array" ref="A566">rakuten_fact_daily_raw!A566
</f>
        <v/>
      </c>
      <c r="C566" s="4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>
      <c r="A567" s="4" t="str">
        <f t="array" ref="A567">rakuten_fact_daily_raw!A567
</f>
        <v/>
      </c>
      <c r="C567" s="4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>
      <c r="A568" s="4" t="str">
        <f t="array" ref="A568">rakuten_fact_daily_raw!A568
</f>
        <v/>
      </c>
      <c r="C568" s="4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>
      <c r="A569" s="4" t="str">
        <f t="array" ref="A569">rakuten_fact_daily_raw!A569
</f>
        <v/>
      </c>
      <c r="C569" s="4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>
      <c r="A570" s="4" t="str">
        <f t="array" ref="A570">rakuten_fact_daily_raw!A570
</f>
        <v/>
      </c>
      <c r="C570" s="4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>
      <c r="A571" s="4" t="str">
        <f t="array" ref="A571">rakuten_fact_daily_raw!A571
</f>
        <v/>
      </c>
      <c r="C571" s="4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>
      <c r="A572" s="4" t="str">
        <f t="array" ref="A572">rakuten_fact_daily_raw!A572
</f>
        <v/>
      </c>
      <c r="C572" s="4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>
      <c r="A573" s="4" t="str">
        <f t="array" ref="A573">rakuten_fact_daily_raw!A573
</f>
        <v/>
      </c>
      <c r="C573" s="4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>
      <c r="A574" s="4" t="str">
        <f t="array" ref="A574">rakuten_fact_daily_raw!A574
</f>
        <v/>
      </c>
      <c r="C574" s="4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>
      <c r="A575" s="4" t="str">
        <f t="array" ref="A575">rakuten_fact_daily_raw!A575
</f>
        <v/>
      </c>
      <c r="C575" s="4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>
      <c r="A576" s="4" t="str">
        <f t="array" ref="A576">rakuten_fact_daily_raw!A576
</f>
        <v/>
      </c>
      <c r="C576" s="4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>
      <c r="A577" s="4" t="str">
        <f t="array" ref="A577">rakuten_fact_daily_raw!A577
</f>
        <v/>
      </c>
      <c r="C577" s="4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>
      <c r="A578" s="4" t="str">
        <f t="array" ref="A578">rakuten_fact_daily_raw!A578
</f>
        <v/>
      </c>
      <c r="C578" s="4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>
      <c r="A579" s="4" t="str">
        <f t="array" ref="A579">rakuten_fact_daily_raw!A579
</f>
        <v/>
      </c>
      <c r="C579" s="4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>
      <c r="A580" s="4" t="str">
        <f t="array" ref="A580">rakuten_fact_daily_raw!A580
</f>
        <v/>
      </c>
      <c r="C580" s="4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>
      <c r="A581" s="4" t="str">
        <f t="array" ref="A581">rakuten_fact_daily_raw!A581
</f>
        <v/>
      </c>
      <c r="C581" s="4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>
      <c r="A582" s="4" t="str">
        <f t="array" ref="A582">rakuten_fact_daily_raw!A582
</f>
        <v/>
      </c>
      <c r="C582" s="4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>
      <c r="A583" s="4" t="str">
        <f t="array" ref="A583">rakuten_fact_daily_raw!A583
</f>
        <v/>
      </c>
      <c r="C583" s="4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>
      <c r="A584" s="4" t="str">
        <f t="array" ref="A584">rakuten_fact_daily_raw!A584
</f>
        <v/>
      </c>
      <c r="C584" s="4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>
      <c r="A585" s="4" t="str">
        <f t="array" ref="A585">rakuten_fact_daily_raw!A585
</f>
        <v/>
      </c>
      <c r="C585" s="4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>
      <c r="A586" s="4" t="str">
        <f t="array" ref="A586">rakuten_fact_daily_raw!A586
</f>
        <v/>
      </c>
      <c r="C586" s="4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>
      <c r="A587" s="4" t="str">
        <f t="array" ref="A587">rakuten_fact_daily_raw!A587
</f>
        <v/>
      </c>
      <c r="C587" s="4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>
      <c r="A588" s="4" t="str">
        <f t="array" ref="A588">rakuten_fact_daily_raw!A588
</f>
        <v/>
      </c>
      <c r="C588" s="4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>
      <c r="A589" s="4" t="str">
        <f t="array" ref="A589">rakuten_fact_daily_raw!A589
</f>
        <v/>
      </c>
      <c r="C589" s="4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>
      <c r="A590" s="4" t="str">
        <f t="array" ref="A590">rakuten_fact_daily_raw!A590
</f>
        <v/>
      </c>
      <c r="C590" s="4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>
      <c r="A591" s="4" t="str">
        <f t="array" ref="A591">rakuten_fact_daily_raw!A591
</f>
        <v/>
      </c>
      <c r="C591" s="4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>
      <c r="A592" s="4" t="str">
        <f t="array" ref="A592">rakuten_fact_daily_raw!A592
</f>
        <v/>
      </c>
      <c r="C592" s="4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>
      <c r="A593" s="4" t="str">
        <f t="array" ref="A593">rakuten_fact_daily_raw!A593
</f>
        <v/>
      </c>
      <c r="C593" s="4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>
      <c r="A594" s="4" t="str">
        <f t="array" ref="A594">rakuten_fact_daily_raw!A594
</f>
        <v/>
      </c>
      <c r="C594" s="4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>
      <c r="A595" s="4" t="str">
        <f t="array" ref="A595">rakuten_fact_daily_raw!A595
</f>
        <v/>
      </c>
      <c r="C595" s="4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>
      <c r="A596" s="4" t="str">
        <f t="array" ref="A596">rakuten_fact_daily_raw!A596
</f>
        <v/>
      </c>
      <c r="C596" s="4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>
      <c r="A597" s="4" t="str">
        <f t="array" ref="A597">rakuten_fact_daily_raw!A597
</f>
        <v/>
      </c>
      <c r="C597" s="4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>
      <c r="A598" s="4" t="str">
        <f t="array" ref="A598">rakuten_fact_daily_raw!A598
</f>
        <v/>
      </c>
      <c r="C598" s="4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>
      <c r="A599" s="4" t="str">
        <f t="array" ref="A599">rakuten_fact_daily_raw!A599
</f>
        <v/>
      </c>
      <c r="C599" s="4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>
      <c r="A600" s="4" t="str">
        <f t="array" ref="A600">rakuten_fact_daily_raw!A600
</f>
        <v/>
      </c>
      <c r="C600" s="4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>
      <c r="A601" s="4" t="str">
        <f t="array" ref="A601">rakuten_fact_daily_raw!A601
</f>
        <v/>
      </c>
      <c r="C601" s="4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>
      <c r="A602" s="4" t="str">
        <f t="array" ref="A602">rakuten_fact_daily_raw!A602
</f>
        <v/>
      </c>
      <c r="C602" s="4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>
      <c r="A603" s="4" t="str">
        <f t="array" ref="A603">rakuten_fact_daily_raw!A603
</f>
        <v/>
      </c>
      <c r="C603" s="4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>
      <c r="A604" s="4" t="str">
        <f t="array" ref="A604">rakuten_fact_daily_raw!A604
</f>
        <v/>
      </c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>
      <c r="A605" s="4" t="str">
        <f t="array" ref="A605">rakuten_fact_daily_raw!A605
</f>
        <v/>
      </c>
      <c r="C605" s="4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>
      <c r="A606" s="4" t="str">
        <f t="array" ref="A606">rakuten_fact_daily_raw!A606
</f>
        <v/>
      </c>
      <c r="C606" s="4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>
      <c r="A607" s="4" t="str">
        <f t="array" ref="A607">rakuten_fact_daily_raw!A607
</f>
        <v/>
      </c>
      <c r="C607" s="4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>
      <c r="A608" s="4" t="str">
        <f t="array" ref="A608">rakuten_fact_daily_raw!A608
</f>
        <v/>
      </c>
      <c r="C608" s="4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>
      <c r="A609" s="4" t="str">
        <f t="array" ref="A609">rakuten_fact_daily_raw!A609
</f>
        <v/>
      </c>
      <c r="C609" s="4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>
      <c r="A610" s="4" t="str">
        <f t="array" ref="A610">rakuten_fact_daily_raw!A610
</f>
        <v/>
      </c>
      <c r="C610" s="4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>
      <c r="A611" s="4" t="str">
        <f t="array" ref="A611">rakuten_fact_daily_raw!A611
</f>
        <v/>
      </c>
      <c r="C611" s="4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>
      <c r="A612" s="4" t="str">
        <f t="array" ref="A612">rakuten_fact_daily_raw!A612
</f>
        <v/>
      </c>
      <c r="C612" s="4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>
      <c r="A613" s="4" t="str">
        <f t="array" ref="A613">rakuten_fact_daily_raw!A613
</f>
        <v/>
      </c>
      <c r="C613" s="4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>
      <c r="A614" s="4" t="str">
        <f t="array" ref="A614">rakuten_fact_daily_raw!A614
</f>
        <v/>
      </c>
      <c r="C614" s="4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>
      <c r="A615" s="4" t="str">
        <f t="array" ref="A615">rakuten_fact_daily_raw!A615
</f>
        <v/>
      </c>
      <c r="C615" s="4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>
      <c r="A616" s="4" t="str">
        <f t="array" ref="A616">rakuten_fact_daily_raw!A616
</f>
        <v/>
      </c>
      <c r="C616" s="4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>
      <c r="A617" s="4" t="str">
        <f t="array" ref="A617">rakuten_fact_daily_raw!A617
</f>
        <v/>
      </c>
      <c r="C617" s="4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>
      <c r="A618" s="4" t="str">
        <f t="array" ref="A618">rakuten_fact_daily_raw!A618
</f>
        <v/>
      </c>
      <c r="C618" s="4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>
      <c r="A619" s="4" t="str">
        <f t="array" ref="A619">rakuten_fact_daily_raw!A619
</f>
        <v/>
      </c>
      <c r="C619" s="4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>
      <c r="A620" s="4" t="str">
        <f t="array" ref="A620">rakuten_fact_daily_raw!A620
</f>
        <v/>
      </c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>
      <c r="A621" s="4" t="str">
        <f t="array" ref="A621">rakuten_fact_daily_raw!A621
</f>
        <v/>
      </c>
      <c r="C621" s="4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>
      <c r="A622" s="4" t="str">
        <f t="array" ref="A622">rakuten_fact_daily_raw!A622
</f>
        <v/>
      </c>
      <c r="C622" s="4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>
      <c r="A623" s="4" t="str">
        <f t="array" ref="A623">rakuten_fact_daily_raw!A623
</f>
        <v/>
      </c>
      <c r="C623" s="4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>
      <c r="A624" s="4" t="str">
        <f t="array" ref="A624">rakuten_fact_daily_raw!A624
</f>
        <v/>
      </c>
      <c r="C624" s="4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>
      <c r="A625" s="4" t="str">
        <f t="array" ref="A625">rakuten_fact_daily_raw!A625
</f>
        <v/>
      </c>
      <c r="C625" s="4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>
      <c r="A626" s="4" t="str">
        <f t="array" ref="A626">rakuten_fact_daily_raw!A626
</f>
        <v/>
      </c>
      <c r="C626" s="4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>
      <c r="A627" s="4" t="str">
        <f t="array" ref="A627">rakuten_fact_daily_raw!A627
</f>
        <v/>
      </c>
      <c r="C627" s="4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>
      <c r="A628" s="4" t="str">
        <f t="array" ref="A628">rakuten_fact_daily_raw!A628
</f>
        <v/>
      </c>
      <c r="C628" s="4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>
      <c r="A629" s="4" t="str">
        <f t="array" ref="A629">rakuten_fact_daily_raw!A629
</f>
        <v/>
      </c>
      <c r="C629" s="4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>
      <c r="A630" s="4" t="str">
        <f t="array" ref="A630">rakuten_fact_daily_raw!A630
</f>
        <v/>
      </c>
      <c r="C630" s="4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>
      <c r="A631" s="4" t="str">
        <f t="array" ref="A631">rakuten_fact_daily_raw!A631
</f>
        <v/>
      </c>
      <c r="C631" s="4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>
      <c r="A632" s="4" t="str">
        <f t="array" ref="A632">rakuten_fact_daily_raw!A632
</f>
        <v/>
      </c>
      <c r="C632" s="4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>
      <c r="A633" s="4" t="str">
        <f t="array" ref="A633">rakuten_fact_daily_raw!A633
</f>
        <v/>
      </c>
      <c r="C633" s="4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>
      <c r="A634" s="4" t="str">
        <f t="array" ref="A634">rakuten_fact_daily_raw!A634
</f>
        <v/>
      </c>
      <c r="C634" s="4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>
      <c r="A635" s="4" t="str">
        <f t="array" ref="A635">rakuten_fact_daily_raw!A635
</f>
        <v/>
      </c>
      <c r="C635" s="4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>
      <c r="A636" s="4" t="str">
        <f t="array" ref="A636">rakuten_fact_daily_raw!A636
</f>
        <v/>
      </c>
      <c r="C636" s="4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>
      <c r="A637" s="4" t="str">
        <f t="array" ref="A637">rakuten_fact_daily_raw!A637
</f>
        <v/>
      </c>
      <c r="C637" s="4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>
      <c r="A638" s="4" t="str">
        <f t="array" ref="A638">rakuten_fact_daily_raw!A638
</f>
        <v/>
      </c>
      <c r="C638" s="4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>
      <c r="A639" s="4" t="str">
        <f t="array" ref="A639">rakuten_fact_daily_raw!A639
</f>
        <v/>
      </c>
      <c r="C639" s="4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>
      <c r="A640" s="4" t="str">
        <f t="array" ref="A640">rakuten_fact_daily_raw!A640
</f>
        <v/>
      </c>
      <c r="C640" s="4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>
      <c r="A641" s="4" t="str">
        <f t="array" ref="A641">rakuten_fact_daily_raw!A641
</f>
        <v/>
      </c>
      <c r="C641" s="4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>
      <c r="A642" s="4" t="str">
        <f t="array" ref="A642">rakuten_fact_daily_raw!A642
</f>
        <v/>
      </c>
      <c r="C642" s="4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>
      <c r="A643" s="4" t="str">
        <f t="array" ref="A643">rakuten_fact_daily_raw!A643
</f>
        <v/>
      </c>
      <c r="C643" s="4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>
      <c r="A644" s="4" t="str">
        <f t="array" ref="A644">rakuten_fact_daily_raw!A644
</f>
        <v/>
      </c>
      <c r="C644" s="4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>
      <c r="A645" s="4" t="str">
        <f t="array" ref="A645">rakuten_fact_daily_raw!A645
</f>
        <v/>
      </c>
      <c r="C645" s="4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>
      <c r="A646" s="4" t="str">
        <f t="array" ref="A646">rakuten_fact_daily_raw!A646
</f>
        <v/>
      </c>
      <c r="C646" s="4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>
      <c r="A647" s="4" t="str">
        <f t="array" ref="A647">rakuten_fact_daily_raw!A647
</f>
        <v/>
      </c>
      <c r="C647" s="4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>
      <c r="A648" s="4" t="str">
        <f t="array" ref="A648">rakuten_fact_daily_raw!A648
</f>
        <v/>
      </c>
      <c r="C648" s="4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>
      <c r="A649" s="4" t="str">
        <f t="array" ref="A649">rakuten_fact_daily_raw!A649
</f>
        <v/>
      </c>
      <c r="C649" s="4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>
      <c r="A650" s="4" t="str">
        <f t="array" ref="A650">rakuten_fact_daily_raw!A650
</f>
        <v/>
      </c>
      <c r="C650" s="4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>
      <c r="A651" s="4" t="str">
        <f t="array" ref="A651">rakuten_fact_daily_raw!A651
</f>
        <v/>
      </c>
      <c r="C651" s="4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>
      <c r="A652" s="4" t="str">
        <f t="array" ref="A652">rakuten_fact_daily_raw!A652
</f>
        <v/>
      </c>
      <c r="C652" s="4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>
      <c r="A653" s="4" t="str">
        <f t="array" ref="A653">rakuten_fact_daily_raw!A653
</f>
        <v/>
      </c>
      <c r="C653" s="4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>
      <c r="A654" s="4" t="str">
        <f t="array" ref="A654">rakuten_fact_daily_raw!A654
</f>
        <v/>
      </c>
      <c r="C654" s="4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>
      <c r="A655" s="4" t="str">
        <f t="array" ref="A655">rakuten_fact_daily_raw!A655
</f>
        <v/>
      </c>
      <c r="C655" s="4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>
      <c r="A656" s="4" t="str">
        <f t="array" ref="A656">rakuten_fact_daily_raw!A656
</f>
        <v/>
      </c>
      <c r="C656" s="4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>
      <c r="A657" s="4" t="str">
        <f t="array" ref="A657">rakuten_fact_daily_raw!A657
</f>
        <v/>
      </c>
      <c r="C657" s="4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>
      <c r="A658" s="4" t="str">
        <f t="array" ref="A658">rakuten_fact_daily_raw!A658
</f>
        <v/>
      </c>
      <c r="C658" s="4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>
      <c r="A659" s="4" t="str">
        <f t="array" ref="A659">rakuten_fact_daily_raw!A659
</f>
        <v/>
      </c>
      <c r="C659" s="4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>
      <c r="A660" s="4" t="str">
        <f t="array" ref="A660">rakuten_fact_daily_raw!A660
</f>
        <v/>
      </c>
      <c r="C660" s="4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>
      <c r="A661" s="4" t="str">
        <f t="array" ref="A661">rakuten_fact_daily_raw!A661
</f>
        <v/>
      </c>
      <c r="C661" s="4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>
      <c r="A662" s="4" t="str">
        <f t="array" ref="A662">rakuten_fact_daily_raw!A662
</f>
        <v/>
      </c>
      <c r="C662" s="4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>
      <c r="A663" s="4" t="str">
        <f t="array" ref="A663">rakuten_fact_daily_raw!A663
</f>
        <v/>
      </c>
      <c r="C663" s="4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>
      <c r="A664" s="4" t="str">
        <f t="array" ref="A664">rakuten_fact_daily_raw!A664
</f>
        <v/>
      </c>
      <c r="C664" s="4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>
      <c r="A665" s="4" t="str">
        <f t="array" ref="A665">rakuten_fact_daily_raw!A665
</f>
        <v/>
      </c>
      <c r="C665" s="4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>
      <c r="A666" s="4" t="str">
        <f t="array" ref="A666">rakuten_fact_daily_raw!A666
</f>
        <v/>
      </c>
      <c r="C666" s="4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>
      <c r="A667" s="4" t="str">
        <f t="array" ref="A667">rakuten_fact_daily_raw!A667
</f>
        <v/>
      </c>
      <c r="C667" s="4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>
      <c r="A668" s="4" t="str">
        <f t="array" ref="A668">rakuten_fact_daily_raw!A668
</f>
        <v/>
      </c>
      <c r="C668" s="4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>
      <c r="A669" s="4" t="str">
        <f t="array" ref="A669">rakuten_fact_daily_raw!A669
</f>
        <v/>
      </c>
      <c r="C669" s="4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>
      <c r="A670" s="4" t="str">
        <f t="array" ref="A670">rakuten_fact_daily_raw!A670
</f>
        <v/>
      </c>
      <c r="C670" s="4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>
      <c r="A671" s="4" t="str">
        <f t="array" ref="A671">rakuten_fact_daily_raw!A671
</f>
        <v/>
      </c>
      <c r="C671" s="4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>
      <c r="A672" s="4" t="str">
        <f t="array" ref="A672">rakuten_fact_daily_raw!A672
</f>
        <v/>
      </c>
      <c r="C672" s="4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>
      <c r="A673" s="4" t="str">
        <f t="array" ref="A673">rakuten_fact_daily_raw!A673
</f>
        <v/>
      </c>
      <c r="C673" s="4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>
      <c r="A674" s="4" t="str">
        <f t="array" ref="A674">rakuten_fact_daily_raw!A674
</f>
        <v/>
      </c>
      <c r="C674" s="4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>
      <c r="A675" s="4" t="str">
        <f t="array" ref="A675">rakuten_fact_daily_raw!A675
</f>
        <v/>
      </c>
      <c r="C675" s="4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>
      <c r="A676" s="4" t="str">
        <f t="array" ref="A676">rakuten_fact_daily_raw!A676
</f>
        <v/>
      </c>
      <c r="C676" s="4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>
      <c r="A677" s="4" t="str">
        <f t="array" ref="A677">rakuten_fact_daily_raw!A677
</f>
        <v/>
      </c>
      <c r="C677" s="4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>
      <c r="A678" s="4" t="str">
        <f t="array" ref="A678">rakuten_fact_daily_raw!A678
</f>
        <v/>
      </c>
      <c r="C678" s="4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>
      <c r="A679" s="4" t="str">
        <f t="array" ref="A679">rakuten_fact_daily_raw!A679
</f>
        <v/>
      </c>
      <c r="C679" s="4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>
      <c r="A680" s="4" t="str">
        <f t="array" ref="A680">rakuten_fact_daily_raw!A680
</f>
        <v/>
      </c>
      <c r="C680" s="4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>
      <c r="A681" s="4" t="str">
        <f t="array" ref="A681">rakuten_fact_daily_raw!A681
</f>
        <v/>
      </c>
      <c r="C681" s="4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>
      <c r="A682" s="4" t="str">
        <f t="array" ref="A682">rakuten_fact_daily_raw!A682
</f>
        <v/>
      </c>
      <c r="C682" s="4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>
      <c r="A683" s="4" t="str">
        <f t="array" ref="A683">rakuten_fact_daily_raw!A683
</f>
        <v/>
      </c>
      <c r="C683" s="4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>
      <c r="A684" s="4" t="str">
        <f t="array" ref="A684">rakuten_fact_daily_raw!A684
</f>
        <v/>
      </c>
      <c r="C684" s="4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>
      <c r="A685" s="4" t="str">
        <f t="array" ref="A685">rakuten_fact_daily_raw!A685
</f>
        <v/>
      </c>
      <c r="C685" s="4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>
      <c r="A686" s="4" t="str">
        <f t="array" ref="A686">rakuten_fact_daily_raw!A686
</f>
        <v/>
      </c>
      <c r="C686" s="4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>
      <c r="A687" s="4" t="str">
        <f t="array" ref="A687">rakuten_fact_daily_raw!A687
</f>
        <v/>
      </c>
      <c r="C687" s="4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>
      <c r="A688" s="4" t="str">
        <f t="array" ref="A688">rakuten_fact_daily_raw!A688
</f>
        <v/>
      </c>
      <c r="C688" s="4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>
      <c r="A689" s="4" t="str">
        <f t="array" ref="A689">rakuten_fact_daily_raw!A689
</f>
        <v/>
      </c>
      <c r="C689" s="4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>
      <c r="A690" s="4" t="str">
        <f t="array" ref="A690">rakuten_fact_daily_raw!A690
</f>
        <v/>
      </c>
      <c r="C690" s="4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>
      <c r="A691" s="4" t="str">
        <f t="array" ref="A691">rakuten_fact_daily_raw!A691
</f>
        <v/>
      </c>
      <c r="C691" s="4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>
      <c r="A692" s="4" t="str">
        <f t="array" ref="A692">rakuten_fact_daily_raw!A692
</f>
        <v/>
      </c>
      <c r="C692" s="4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>
      <c r="A693" s="4" t="str">
        <f t="array" ref="A693">rakuten_fact_daily_raw!A693
</f>
        <v/>
      </c>
      <c r="C693" s="4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>
      <c r="A694" s="4" t="str">
        <f t="array" ref="A694">rakuten_fact_daily_raw!A694
</f>
        <v/>
      </c>
      <c r="C694" s="4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>
      <c r="A695" s="4" t="str">
        <f t="array" ref="A695">rakuten_fact_daily_raw!A695
</f>
        <v/>
      </c>
      <c r="C695" s="4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>
      <c r="A696" s="4" t="str">
        <f t="array" ref="A696">rakuten_fact_daily_raw!A696
</f>
        <v/>
      </c>
      <c r="C696" s="4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>
      <c r="A697" s="4" t="str">
        <f t="array" ref="A697">rakuten_fact_daily_raw!A697
</f>
        <v/>
      </c>
      <c r="C697" s="4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>
      <c r="A698" s="4" t="str">
        <f t="array" ref="A698">rakuten_fact_daily_raw!A698
</f>
        <v/>
      </c>
      <c r="C698" s="4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>
      <c r="A699" s="4" t="str">
        <f t="array" ref="A699">rakuten_fact_daily_raw!A699
</f>
        <v/>
      </c>
      <c r="C699" s="4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>
      <c r="A700" s="4" t="str">
        <f t="array" ref="A700">rakuten_fact_daily_raw!A700
</f>
        <v/>
      </c>
      <c r="C700" s="4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>
      <c r="A701" s="4" t="str">
        <f t="array" ref="A701">rakuten_fact_daily_raw!A701
</f>
        <v/>
      </c>
      <c r="C701" s="4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>
      <c r="A702" s="4" t="str">
        <f t="array" ref="A702">rakuten_fact_daily_raw!A702
</f>
        <v/>
      </c>
      <c r="C702" s="4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>
      <c r="A703" s="4" t="str">
        <f t="array" ref="A703">rakuten_fact_daily_raw!A703
</f>
        <v/>
      </c>
      <c r="C703" s="4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>
      <c r="A704" s="4" t="str">
        <f t="array" ref="A704">rakuten_fact_daily_raw!A704
</f>
        <v/>
      </c>
      <c r="C704" s="4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>
      <c r="A705" s="4" t="str">
        <f t="array" ref="A705">rakuten_fact_daily_raw!A705
</f>
        <v/>
      </c>
      <c r="C705" s="4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>
      <c r="A706" s="4" t="str">
        <f t="array" ref="A706">rakuten_fact_daily_raw!A706
</f>
        <v/>
      </c>
      <c r="C706" s="4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>
      <c r="A707" s="4" t="str">
        <f t="array" ref="A707">rakuten_fact_daily_raw!A707
</f>
        <v/>
      </c>
      <c r="C707" s="4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>
      <c r="A708" s="4" t="str">
        <f t="array" ref="A708">rakuten_fact_daily_raw!A708
</f>
        <v/>
      </c>
      <c r="C708" s="4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>
      <c r="A709" s="4" t="str">
        <f t="array" ref="A709">rakuten_fact_daily_raw!A709
</f>
        <v/>
      </c>
      <c r="C709" s="4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>
      <c r="A710" s="4" t="str">
        <f t="array" ref="A710">rakuten_fact_daily_raw!A710
</f>
        <v/>
      </c>
      <c r="C710" s="4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>
      <c r="A711" s="4" t="str">
        <f t="array" ref="A711">rakuten_fact_daily_raw!A711
</f>
        <v/>
      </c>
      <c r="C711" s="4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>
      <c r="A712" s="4" t="str">
        <f t="array" ref="A712">rakuten_fact_daily_raw!A712
</f>
        <v/>
      </c>
      <c r="C712" s="4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>
      <c r="A713" s="4" t="str">
        <f t="array" ref="A713">rakuten_fact_daily_raw!A713
</f>
        <v/>
      </c>
      <c r="C713" s="4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>
      <c r="A714" s="4" t="str">
        <f t="array" ref="A714">rakuten_fact_daily_raw!A714
</f>
        <v/>
      </c>
      <c r="C714" s="4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>
      <c r="A715" s="4" t="str">
        <f t="array" ref="A715">rakuten_fact_daily_raw!A715
</f>
        <v/>
      </c>
      <c r="C715" s="4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>
      <c r="A716" s="4" t="str">
        <f t="array" ref="A716">rakuten_fact_daily_raw!A716
</f>
        <v/>
      </c>
      <c r="C716" s="4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>
      <c r="A717" s="4" t="str">
        <f t="array" ref="A717">rakuten_fact_daily_raw!A717
</f>
        <v/>
      </c>
      <c r="C717" s="4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>
      <c r="A718" s="4" t="str">
        <f t="array" ref="A718">rakuten_fact_daily_raw!A718
</f>
        <v/>
      </c>
      <c r="C718" s="4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>
      <c r="A719" s="4" t="str">
        <f t="array" ref="A719">rakuten_fact_daily_raw!A719
</f>
        <v/>
      </c>
      <c r="C719" s="4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>
      <c r="A720" s="4" t="str">
        <f t="array" ref="A720">rakuten_fact_daily_raw!A720
</f>
        <v/>
      </c>
      <c r="C720" s="4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>
      <c r="A721" s="4" t="str">
        <f t="array" ref="A721">rakuten_fact_daily_raw!A721
</f>
        <v/>
      </c>
      <c r="C721" s="4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>
      <c r="A722" s="4" t="str">
        <f t="array" ref="A722">rakuten_fact_daily_raw!A722
</f>
        <v/>
      </c>
      <c r="C722" s="4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>
      <c r="A723" s="4" t="str">
        <f t="array" ref="A723">rakuten_fact_daily_raw!A723
</f>
        <v/>
      </c>
      <c r="C723" s="4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>
      <c r="A724" s="4" t="str">
        <f t="array" ref="A724">rakuten_fact_daily_raw!A724
</f>
        <v/>
      </c>
      <c r="C724" s="4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>
      <c r="A725" s="4" t="str">
        <f t="array" ref="A725">rakuten_fact_daily_raw!A725
</f>
        <v/>
      </c>
      <c r="C725" s="4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>
      <c r="A726" s="4" t="str">
        <f t="array" ref="A726">rakuten_fact_daily_raw!A726
</f>
        <v/>
      </c>
      <c r="C726" s="4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>
      <c r="A727" s="4" t="str">
        <f t="array" ref="A727">rakuten_fact_daily_raw!A727
</f>
        <v/>
      </c>
      <c r="C727" s="4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>
      <c r="A728" s="4" t="str">
        <f t="array" ref="A728">rakuten_fact_daily_raw!A728
</f>
        <v/>
      </c>
      <c r="C728" s="4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>
      <c r="A729" s="4" t="str">
        <f t="array" ref="A729">rakuten_fact_daily_raw!A729
</f>
        <v/>
      </c>
      <c r="C729" s="4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>
      <c r="A730" s="4" t="str">
        <f t="array" ref="A730">rakuten_fact_daily_raw!A730
</f>
        <v/>
      </c>
      <c r="C730" s="4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>
      <c r="A731" s="4" t="str">
        <f t="array" ref="A731">rakuten_fact_daily_raw!A731
</f>
        <v/>
      </c>
      <c r="C731" s="4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>
      <c r="A732" s="4" t="str">
        <f t="array" ref="A732">rakuten_fact_daily_raw!A732
</f>
        <v/>
      </c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>
      <c r="A733" s="4" t="str">
        <f t="array" ref="A733">rakuten_fact_daily_raw!A733
</f>
        <v/>
      </c>
      <c r="C733" s="4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>
      <c r="A734" s="4" t="str">
        <f t="array" ref="A734">rakuten_fact_daily_raw!A734
</f>
        <v/>
      </c>
      <c r="C734" s="4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>
      <c r="A735" s="4" t="str">
        <f t="array" ref="A735">rakuten_fact_daily_raw!A735
</f>
        <v/>
      </c>
      <c r="C735" s="4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>
      <c r="A736" s="4" t="str">
        <f t="array" ref="A736">rakuten_fact_daily_raw!A736
</f>
        <v/>
      </c>
      <c r="C736" s="4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>
      <c r="A737" s="4" t="str">
        <f t="array" ref="A737">rakuten_fact_daily_raw!A737
</f>
        <v/>
      </c>
      <c r="C737" s="4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>
      <c r="A738" s="4" t="str">
        <f t="array" ref="A738">rakuten_fact_daily_raw!A738
</f>
        <v/>
      </c>
      <c r="C738" s="4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>
      <c r="A739" s="4" t="str">
        <f t="array" ref="A739">rakuten_fact_daily_raw!A739
</f>
        <v/>
      </c>
      <c r="C739" s="4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>
      <c r="A740" s="4" t="str">
        <f t="array" ref="A740">rakuten_fact_daily_raw!A740
</f>
        <v/>
      </c>
      <c r="C740" s="4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>
      <c r="A741" s="4" t="str">
        <f t="array" ref="A741">rakuten_fact_daily_raw!A741
</f>
        <v/>
      </c>
      <c r="C741" s="4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>
      <c r="A742" s="4" t="str">
        <f t="array" ref="A742">rakuten_fact_daily_raw!A742
</f>
        <v/>
      </c>
      <c r="C742" s="4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>
      <c r="A743" s="4" t="str">
        <f t="array" ref="A743">rakuten_fact_daily_raw!A743
</f>
        <v/>
      </c>
      <c r="C743" s="4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>
      <c r="A744" s="4" t="str">
        <f t="array" ref="A744">rakuten_fact_daily_raw!A744
</f>
        <v/>
      </c>
      <c r="C744" s="4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>
      <c r="A745" s="4" t="str">
        <f t="array" ref="A745">rakuten_fact_daily_raw!A745
</f>
        <v/>
      </c>
      <c r="C745" s="4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>
      <c r="A746" s="4" t="str">
        <f t="array" ref="A746">rakuten_fact_daily_raw!A746
</f>
        <v/>
      </c>
      <c r="C746" s="4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>
      <c r="A747" s="4" t="str">
        <f t="array" ref="A747">rakuten_fact_daily_raw!A747
</f>
        <v/>
      </c>
      <c r="C747" s="4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>
      <c r="A748" s="4" t="str">
        <f t="array" ref="A748">rakuten_fact_daily_raw!A748
</f>
        <v/>
      </c>
      <c r="C748" s="4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>
      <c r="A749" s="4" t="str">
        <f t="array" ref="A749">rakuten_fact_daily_raw!A749
</f>
        <v/>
      </c>
      <c r="C749" s="4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>
      <c r="A750" s="4" t="str">
        <f t="array" ref="A750">rakuten_fact_daily_raw!A750
</f>
        <v/>
      </c>
      <c r="C750" s="4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>
      <c r="A751" s="4" t="str">
        <f t="array" ref="A751">rakuten_fact_daily_raw!A751
</f>
        <v/>
      </c>
      <c r="C751" s="4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>
      <c r="A752" s="4" t="str">
        <f t="array" ref="A752">rakuten_fact_daily_raw!A752
</f>
        <v/>
      </c>
      <c r="C752" s="4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>
      <c r="A753" s="4" t="str">
        <f t="array" ref="A753">rakuten_fact_daily_raw!A753
</f>
        <v/>
      </c>
      <c r="C753" s="4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>
      <c r="A754" s="4" t="str">
        <f t="array" ref="A754">rakuten_fact_daily_raw!A754
</f>
        <v/>
      </c>
      <c r="C754" s="4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>
      <c r="A755" s="4" t="str">
        <f t="array" ref="A755">rakuten_fact_daily_raw!A755
</f>
        <v/>
      </c>
      <c r="C755" s="4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>
      <c r="A756" s="4" t="str">
        <f t="array" ref="A756">rakuten_fact_daily_raw!A756
</f>
        <v/>
      </c>
      <c r="C756" s="4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>
      <c r="A757" s="4" t="str">
        <f t="array" ref="A757">rakuten_fact_daily_raw!A757
</f>
        <v/>
      </c>
      <c r="C757" s="4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>
      <c r="A758" s="4" t="str">
        <f t="array" ref="A758">rakuten_fact_daily_raw!A758
</f>
        <v/>
      </c>
      <c r="C758" s="4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>
      <c r="A759" s="4" t="str">
        <f t="array" ref="A759">rakuten_fact_daily_raw!A759
</f>
        <v/>
      </c>
      <c r="C759" s="4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>
      <c r="A760" s="4" t="str">
        <f t="array" ref="A760">rakuten_fact_daily_raw!A760
</f>
        <v/>
      </c>
      <c r="C760" s="4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>
      <c r="A761" s="4" t="str">
        <f t="array" ref="A761">rakuten_fact_daily_raw!A761
</f>
        <v/>
      </c>
      <c r="C761" s="4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>
      <c r="A762" s="4" t="str">
        <f t="array" ref="A762">rakuten_fact_daily_raw!A762
</f>
        <v/>
      </c>
      <c r="C762" s="4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>
      <c r="A763" s="4" t="str">
        <f t="array" ref="A763">rakuten_fact_daily_raw!A763
</f>
        <v/>
      </c>
      <c r="C763" s="4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>
      <c r="A764" s="4" t="str">
        <f t="array" ref="A764">rakuten_fact_daily_raw!A764
</f>
        <v/>
      </c>
      <c r="C764" s="4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>
      <c r="A765" s="4" t="str">
        <f t="array" ref="A765">rakuten_fact_daily_raw!A765
</f>
        <v/>
      </c>
      <c r="C765" s="4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>
      <c r="A766" s="4" t="str">
        <f t="array" ref="A766">rakuten_fact_daily_raw!A766
</f>
        <v/>
      </c>
      <c r="C766" s="4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>
      <c r="A767" s="4" t="str">
        <f t="array" ref="A767">rakuten_fact_daily_raw!A767
</f>
        <v/>
      </c>
      <c r="C767" s="4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>
      <c r="A768" s="4" t="str">
        <f t="array" ref="A768">rakuten_fact_daily_raw!A768
</f>
        <v/>
      </c>
      <c r="C768" s="4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>
      <c r="A769" s="4" t="str">
        <f t="array" ref="A769">rakuten_fact_daily_raw!A769
</f>
        <v/>
      </c>
      <c r="C769" s="4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>
      <c r="A770" s="4" t="str">
        <f t="array" ref="A770">rakuten_fact_daily_raw!A770
</f>
        <v/>
      </c>
      <c r="C770" s="4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>
      <c r="A771" s="4" t="str">
        <f t="array" ref="A771">rakuten_fact_daily_raw!A771
</f>
        <v/>
      </c>
      <c r="C771" s="4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>
      <c r="A772" s="4" t="str">
        <f t="array" ref="A772">rakuten_fact_daily_raw!A772
</f>
        <v/>
      </c>
      <c r="C772" s="4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>
      <c r="A773" s="4" t="str">
        <f t="array" ref="A773">rakuten_fact_daily_raw!A773
</f>
        <v/>
      </c>
      <c r="C773" s="4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>
      <c r="A774" s="4" t="str">
        <f t="array" ref="A774">rakuten_fact_daily_raw!A774
</f>
        <v/>
      </c>
      <c r="C774" s="4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>
      <c r="A775" s="4" t="str">
        <f t="array" ref="A775">rakuten_fact_daily_raw!A775
</f>
        <v/>
      </c>
      <c r="C775" s="4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>
      <c r="A776" s="4" t="str">
        <f t="array" ref="A776">rakuten_fact_daily_raw!A776
</f>
        <v/>
      </c>
      <c r="C776" s="4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>
      <c r="A777" s="4" t="str">
        <f t="array" ref="A777">rakuten_fact_daily_raw!A777
</f>
        <v/>
      </c>
      <c r="C777" s="4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>
      <c r="A778" s="4" t="str">
        <f t="array" ref="A778">rakuten_fact_daily_raw!A778
</f>
        <v/>
      </c>
      <c r="C778" s="4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>
      <c r="A779" s="4" t="str">
        <f t="array" ref="A779">rakuten_fact_daily_raw!A779
</f>
        <v/>
      </c>
      <c r="C779" s="4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>
      <c r="A780" s="4" t="str">
        <f t="array" ref="A780">rakuten_fact_daily_raw!A780
</f>
        <v/>
      </c>
      <c r="C780" s="4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>
      <c r="A781" s="4" t="str">
        <f t="array" ref="A781">rakuten_fact_daily_raw!A781
</f>
        <v/>
      </c>
      <c r="C781" s="4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>
      <c r="A782" s="4" t="str">
        <f t="array" ref="A782">rakuten_fact_daily_raw!A782
</f>
        <v/>
      </c>
      <c r="C782" s="4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>
      <c r="A783" s="4" t="str">
        <f t="array" ref="A783">rakuten_fact_daily_raw!A783
</f>
        <v/>
      </c>
      <c r="C783" s="4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>
      <c r="A784" s="4" t="str">
        <f t="array" ref="A784">rakuten_fact_daily_raw!A784
</f>
        <v/>
      </c>
      <c r="C784" s="4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>
      <c r="A785" s="4" t="str">
        <f t="array" ref="A785">rakuten_fact_daily_raw!A785
</f>
        <v/>
      </c>
      <c r="C785" s="4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>
      <c r="A786" s="4" t="str">
        <f t="array" ref="A786">rakuten_fact_daily_raw!A786
</f>
        <v/>
      </c>
      <c r="C786" s="4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>
      <c r="A787" s="4" t="str">
        <f t="array" ref="A787">rakuten_fact_daily_raw!A787
</f>
        <v/>
      </c>
      <c r="C787" s="4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>
      <c r="A788" s="4" t="str">
        <f t="array" ref="A788">rakuten_fact_daily_raw!A788
</f>
        <v/>
      </c>
      <c r="C788" s="4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>
      <c r="A789" s="4" t="str">
        <f t="array" ref="A789">rakuten_fact_daily_raw!A789
</f>
        <v/>
      </c>
      <c r="C789" s="4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>
      <c r="A790" s="4" t="str">
        <f t="array" ref="A790">rakuten_fact_daily_raw!A790
</f>
        <v/>
      </c>
      <c r="C790" s="4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>
      <c r="A791" s="4" t="str">
        <f t="array" ref="A791">rakuten_fact_daily_raw!A791
</f>
        <v/>
      </c>
      <c r="C791" s="4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>
      <c r="A792" s="4" t="str">
        <f t="array" ref="A792">rakuten_fact_daily_raw!A792
</f>
        <v/>
      </c>
      <c r="C792" s="4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>
      <c r="A793" s="4" t="str">
        <f t="array" ref="A793">rakuten_fact_daily_raw!A793
</f>
        <v/>
      </c>
      <c r="C793" s="4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>
      <c r="A794" s="4" t="str">
        <f t="array" ref="A794">rakuten_fact_daily_raw!A794
</f>
        <v/>
      </c>
      <c r="C794" s="4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>
      <c r="A795" s="4" t="str">
        <f t="array" ref="A795">rakuten_fact_daily_raw!A795
</f>
        <v/>
      </c>
      <c r="C795" s="4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>
      <c r="A796" s="4" t="str">
        <f t="array" ref="A796">rakuten_fact_daily_raw!A796
</f>
        <v/>
      </c>
      <c r="C796" s="4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>
      <c r="A797" s="4" t="str">
        <f t="array" ref="A797">rakuten_fact_daily_raw!A797
</f>
        <v/>
      </c>
      <c r="C797" s="4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>
      <c r="A798" s="4" t="str">
        <f t="array" ref="A798">rakuten_fact_daily_raw!A798
</f>
        <v/>
      </c>
      <c r="C798" s="4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>
      <c r="A799" s="4" t="str">
        <f t="array" ref="A799">rakuten_fact_daily_raw!A799
</f>
        <v/>
      </c>
      <c r="C799" s="4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>
      <c r="A800" s="4" t="str">
        <f t="array" ref="A800">rakuten_fact_daily_raw!A800
</f>
        <v/>
      </c>
      <c r="C800" s="4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>
      <c r="A801" s="4" t="str">
        <f t="array" ref="A801">rakuten_fact_daily_raw!A801
</f>
        <v/>
      </c>
      <c r="C801" s="4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>
      <c r="A802" s="4" t="str">
        <f t="array" ref="A802">rakuten_fact_daily_raw!A802
</f>
        <v/>
      </c>
      <c r="C802" s="4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>
      <c r="A803" s="4" t="str">
        <f t="array" ref="A803">rakuten_fact_daily_raw!A803
</f>
        <v/>
      </c>
      <c r="C803" s="4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>
      <c r="A804" s="4" t="str">
        <f t="array" ref="A804">rakuten_fact_daily_raw!A804
</f>
        <v/>
      </c>
      <c r="C804" s="4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>
      <c r="A805" s="4" t="str">
        <f t="array" ref="A805">rakuten_fact_daily_raw!A805
</f>
        <v/>
      </c>
      <c r="C805" s="4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>
      <c r="A806" s="4" t="str">
        <f t="array" ref="A806">rakuten_fact_daily_raw!A806
</f>
        <v/>
      </c>
      <c r="C806" s="4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>
      <c r="A807" s="4" t="str">
        <f t="array" ref="A807">rakuten_fact_daily_raw!A807
</f>
        <v/>
      </c>
      <c r="C807" s="4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>
      <c r="A808" s="4" t="str">
        <f t="array" ref="A808">rakuten_fact_daily_raw!A808
</f>
        <v/>
      </c>
      <c r="C808" s="4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>
      <c r="A809" s="4" t="str">
        <f t="array" ref="A809">rakuten_fact_daily_raw!A809
</f>
        <v/>
      </c>
      <c r="C809" s="4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>
      <c r="A810" s="4" t="str">
        <f t="array" ref="A810">rakuten_fact_daily_raw!A810
</f>
        <v/>
      </c>
      <c r="C810" s="4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>
      <c r="A811" s="4" t="str">
        <f t="array" ref="A811">rakuten_fact_daily_raw!A811
</f>
        <v/>
      </c>
      <c r="C811" s="4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>
      <c r="A812" s="4" t="str">
        <f t="array" ref="A812">rakuten_fact_daily_raw!A812
</f>
        <v/>
      </c>
      <c r="C812" s="4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>
      <c r="A813" s="4" t="str">
        <f t="array" ref="A813">rakuten_fact_daily_raw!A813
</f>
        <v/>
      </c>
      <c r="C813" s="4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>
      <c r="A814" s="4" t="str">
        <f t="array" ref="A814">rakuten_fact_daily_raw!A814
</f>
        <v/>
      </c>
      <c r="C814" s="4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>
      <c r="A815" s="4" t="str">
        <f t="array" ref="A815">rakuten_fact_daily_raw!A815
</f>
        <v/>
      </c>
      <c r="C815" s="4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>
      <c r="A816" s="4" t="str">
        <f t="array" ref="A816">rakuten_fact_daily_raw!A816
</f>
        <v/>
      </c>
      <c r="C816" s="4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>
      <c r="A817" s="4" t="str">
        <f t="array" ref="A817">rakuten_fact_daily_raw!A817
</f>
        <v/>
      </c>
      <c r="C817" s="4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>
      <c r="A818" s="4" t="str">
        <f t="array" ref="A818">rakuten_fact_daily_raw!A818
</f>
        <v/>
      </c>
      <c r="C818" s="4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>
      <c r="A819" s="4" t="str">
        <f t="array" ref="A819">rakuten_fact_daily_raw!A819
</f>
        <v/>
      </c>
      <c r="C819" s="4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>
      <c r="A820" s="4" t="str">
        <f t="array" ref="A820">rakuten_fact_daily_raw!A820
</f>
        <v/>
      </c>
      <c r="C820" s="4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>
      <c r="A821" s="4" t="str">
        <f t="array" ref="A821">rakuten_fact_daily_raw!A821
</f>
        <v/>
      </c>
      <c r="C821" s="4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>
      <c r="A822" s="4" t="str">
        <f t="array" ref="A822">rakuten_fact_daily_raw!A822
</f>
        <v/>
      </c>
      <c r="C822" s="4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>
      <c r="A823" s="4" t="str">
        <f t="array" ref="A823">rakuten_fact_daily_raw!A823
</f>
        <v/>
      </c>
      <c r="C823" s="4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>
      <c r="A824" s="4" t="str">
        <f t="array" ref="A824">rakuten_fact_daily_raw!A824
</f>
        <v/>
      </c>
      <c r="C824" s="4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>
      <c r="A825" s="4" t="str">
        <f t="array" ref="A825">rakuten_fact_daily_raw!A825
</f>
        <v/>
      </c>
      <c r="C825" s="4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>
      <c r="A826" s="4" t="str">
        <f t="array" ref="A826">rakuten_fact_daily_raw!A826
</f>
        <v/>
      </c>
      <c r="C826" s="4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>
      <c r="A827" s="4" t="str">
        <f t="array" ref="A827">rakuten_fact_daily_raw!A827
</f>
        <v/>
      </c>
      <c r="C827" s="4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>
      <c r="A828" s="4" t="str">
        <f t="array" ref="A828">rakuten_fact_daily_raw!A828
</f>
        <v/>
      </c>
      <c r="C828" s="4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>
      <c r="A829" s="4" t="str">
        <f t="array" ref="A829">rakuten_fact_daily_raw!A829
</f>
        <v/>
      </c>
      <c r="C829" s="4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>
      <c r="A830" s="4" t="str">
        <f t="array" ref="A830">rakuten_fact_daily_raw!A830
</f>
        <v/>
      </c>
      <c r="C830" s="4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>
      <c r="A831" s="4" t="str">
        <f t="array" ref="A831">rakuten_fact_daily_raw!A831
</f>
        <v/>
      </c>
      <c r="C831" s="4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>
      <c r="A832" s="4" t="str">
        <f t="array" ref="A832">rakuten_fact_daily_raw!A832
</f>
        <v/>
      </c>
      <c r="C832" s="4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>
      <c r="A833" s="4" t="str">
        <f t="array" ref="A833">rakuten_fact_daily_raw!A833
</f>
        <v/>
      </c>
      <c r="C833" s="4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>
      <c r="A834" s="4" t="str">
        <f t="array" ref="A834">rakuten_fact_daily_raw!A834
</f>
        <v/>
      </c>
      <c r="C834" s="4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>
      <c r="A835" s="4" t="str">
        <f t="array" ref="A835">rakuten_fact_daily_raw!A835
</f>
        <v/>
      </c>
      <c r="C835" s="4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>
      <c r="A836" s="4" t="str">
        <f t="array" ref="A836">rakuten_fact_daily_raw!A836
</f>
        <v/>
      </c>
      <c r="C836" s="4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>
      <c r="A837" s="4" t="str">
        <f t="array" ref="A837">rakuten_fact_daily_raw!A837
</f>
        <v/>
      </c>
      <c r="C837" s="4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>
      <c r="A838" s="4" t="str">
        <f t="array" ref="A838">rakuten_fact_daily_raw!A838
</f>
        <v/>
      </c>
      <c r="C838" s="4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>
      <c r="A839" s="4" t="str">
        <f t="array" ref="A839">rakuten_fact_daily_raw!A839
</f>
        <v/>
      </c>
      <c r="C839" s="4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>
      <c r="A840" s="4" t="str">
        <f t="array" ref="A840">rakuten_fact_daily_raw!A840
</f>
        <v/>
      </c>
      <c r="C840" s="4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>
      <c r="A841" s="4" t="str">
        <f t="array" ref="A841">rakuten_fact_daily_raw!A841
</f>
        <v/>
      </c>
      <c r="C841" s="4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>
      <c r="A842" s="4" t="str">
        <f t="array" ref="A842">rakuten_fact_daily_raw!A842
</f>
        <v/>
      </c>
      <c r="C842" s="4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>
      <c r="A843" s="4" t="str">
        <f t="array" ref="A843">rakuten_fact_daily_raw!A843
</f>
        <v/>
      </c>
      <c r="C843" s="4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>
      <c r="A844" s="4" t="str">
        <f t="array" ref="A844">rakuten_fact_daily_raw!A844
</f>
        <v/>
      </c>
      <c r="C844" s="4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>
      <c r="A845" s="4" t="str">
        <f t="array" ref="A845">rakuten_fact_daily_raw!A845
</f>
        <v/>
      </c>
      <c r="C845" s="4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>
      <c r="A846" s="4" t="str">
        <f t="array" ref="A846">rakuten_fact_daily_raw!A846
</f>
        <v/>
      </c>
      <c r="C846" s="4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>
      <c r="A847" s="4" t="str">
        <f t="array" ref="A847">rakuten_fact_daily_raw!A847
</f>
        <v/>
      </c>
      <c r="C847" s="4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>
      <c r="A848" s="4" t="str">
        <f t="array" ref="A848">rakuten_fact_daily_raw!A848
</f>
        <v/>
      </c>
      <c r="C848" s="4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>
      <c r="A849" s="4" t="str">
        <f t="array" ref="A849">rakuten_fact_daily_raw!A849
</f>
        <v/>
      </c>
      <c r="C849" s="4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>
      <c r="A850" s="4" t="str">
        <f t="array" ref="A850">rakuten_fact_daily_raw!A850
</f>
        <v/>
      </c>
      <c r="C850" s="4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>
      <c r="A851" s="4" t="str">
        <f t="array" ref="A851">rakuten_fact_daily_raw!A851
</f>
        <v/>
      </c>
      <c r="C851" s="4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>
      <c r="A852" s="4" t="str">
        <f t="array" ref="A852">rakuten_fact_daily_raw!A852
</f>
        <v/>
      </c>
      <c r="C852" s="4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>
      <c r="A853" s="4" t="str">
        <f t="array" ref="A853">rakuten_fact_daily_raw!A853
</f>
        <v/>
      </c>
      <c r="C853" s="4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>
      <c r="A854" s="4" t="str">
        <f t="array" ref="A854">rakuten_fact_daily_raw!A854
</f>
        <v/>
      </c>
      <c r="C854" s="4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>
      <c r="A855" s="4" t="str">
        <f t="array" ref="A855">rakuten_fact_daily_raw!A855
</f>
        <v/>
      </c>
      <c r="C855" s="4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>
      <c r="A856" s="4" t="str">
        <f t="array" ref="A856">rakuten_fact_daily_raw!A856
</f>
        <v/>
      </c>
      <c r="C856" s="4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>
      <c r="A857" s="4" t="str">
        <f t="array" ref="A857">rakuten_fact_daily_raw!A857
</f>
        <v/>
      </c>
      <c r="C857" s="4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>
      <c r="A858" s="4" t="str">
        <f t="array" ref="A858">rakuten_fact_daily_raw!A858
</f>
        <v/>
      </c>
      <c r="C858" s="4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>
      <c r="A859" s="4" t="str">
        <f t="array" ref="A859">rakuten_fact_daily_raw!A859
</f>
        <v/>
      </c>
      <c r="C859" s="4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>
      <c r="A860" s="4" t="str">
        <f t="array" ref="A860">rakuten_fact_daily_raw!A860
</f>
        <v/>
      </c>
      <c r="C860" s="4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>
      <c r="A861" s="4" t="str">
        <f t="array" ref="A861">rakuten_fact_daily_raw!A861
</f>
        <v/>
      </c>
      <c r="C861" s="4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>
      <c r="A862" s="4" t="str">
        <f t="array" ref="A862">rakuten_fact_daily_raw!A862
</f>
        <v/>
      </c>
      <c r="C862" s="4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>
      <c r="A863" s="4" t="str">
        <f t="array" ref="A863">rakuten_fact_daily_raw!A863
</f>
        <v/>
      </c>
      <c r="C863" s="4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>
      <c r="A864" s="4" t="str">
        <f t="array" ref="A864">rakuten_fact_daily_raw!A864
</f>
        <v/>
      </c>
      <c r="C864" s="4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>
      <c r="A865" s="4" t="str">
        <f t="array" ref="A865">rakuten_fact_daily_raw!A865
</f>
        <v/>
      </c>
      <c r="C865" s="4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>
      <c r="A866" s="4" t="str">
        <f t="array" ref="A866">rakuten_fact_daily_raw!A866
</f>
        <v/>
      </c>
      <c r="C866" s="4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>
      <c r="A867" s="4" t="str">
        <f t="array" ref="A867">rakuten_fact_daily_raw!A867
</f>
        <v/>
      </c>
      <c r="C867" s="4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>
      <c r="A868" s="4" t="str">
        <f t="array" ref="A868">rakuten_fact_daily_raw!A868
</f>
        <v/>
      </c>
      <c r="C868" s="4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>
      <c r="A869" s="4" t="str">
        <f t="array" ref="A869">rakuten_fact_daily_raw!A869
</f>
        <v/>
      </c>
      <c r="C869" s="4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>
      <c r="A870" s="4" t="str">
        <f t="array" ref="A870">rakuten_fact_daily_raw!A870
</f>
        <v/>
      </c>
      <c r="C870" s="4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>
      <c r="A871" s="4" t="str">
        <f t="array" ref="A871">rakuten_fact_daily_raw!A871
</f>
        <v/>
      </c>
      <c r="C871" s="4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>
      <c r="A872" s="4" t="str">
        <f t="array" ref="A872">rakuten_fact_daily_raw!A872
</f>
        <v/>
      </c>
      <c r="C872" s="4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>
      <c r="A873" s="4" t="str">
        <f t="array" ref="A873">rakuten_fact_daily_raw!A873
</f>
        <v/>
      </c>
      <c r="C873" s="4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>
      <c r="A874" s="4" t="str">
        <f t="array" ref="A874">rakuten_fact_daily_raw!A874
</f>
        <v/>
      </c>
      <c r="C874" s="4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>
      <c r="A875" s="4" t="str">
        <f t="array" ref="A875">rakuten_fact_daily_raw!A875
</f>
        <v/>
      </c>
      <c r="C875" s="4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>
      <c r="A876" s="4" t="str">
        <f t="array" ref="A876">rakuten_fact_daily_raw!A876
</f>
        <v/>
      </c>
      <c r="C876" s="4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>
      <c r="A877" s="4" t="str">
        <f t="array" ref="A877">rakuten_fact_daily_raw!A877
</f>
        <v/>
      </c>
      <c r="C877" s="4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>
      <c r="A878" s="4" t="str">
        <f t="array" ref="A878">rakuten_fact_daily_raw!A878
</f>
        <v/>
      </c>
      <c r="C878" s="4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>
      <c r="A879" s="4" t="str">
        <f t="array" ref="A879">rakuten_fact_daily_raw!A879
</f>
        <v/>
      </c>
      <c r="C879" s="4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>
      <c r="A880" s="4" t="str">
        <f t="array" ref="A880">rakuten_fact_daily_raw!A880
</f>
        <v/>
      </c>
      <c r="C880" s="4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>
      <c r="A881" s="4" t="str">
        <f t="array" ref="A881">rakuten_fact_daily_raw!A881
</f>
        <v/>
      </c>
      <c r="C881" s="4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>
      <c r="A882" s="4" t="str">
        <f t="array" ref="A882">rakuten_fact_daily_raw!A882
</f>
        <v/>
      </c>
      <c r="C882" s="4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>
      <c r="A883" s="4" t="str">
        <f t="array" ref="A883">rakuten_fact_daily_raw!A883
</f>
        <v/>
      </c>
      <c r="C883" s="4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>
      <c r="A884" s="4" t="str">
        <f t="array" ref="A884">rakuten_fact_daily_raw!A884
</f>
        <v/>
      </c>
      <c r="C884" s="4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>
      <c r="A885" s="4" t="str">
        <f t="array" ref="A885">rakuten_fact_daily_raw!A885
</f>
        <v/>
      </c>
      <c r="C885" s="4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>
      <c r="A886" s="4" t="str">
        <f t="array" ref="A886">rakuten_fact_daily_raw!A886
</f>
        <v/>
      </c>
      <c r="C886" s="4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>
      <c r="A887" s="4" t="str">
        <f t="array" ref="A887">rakuten_fact_daily_raw!A887
</f>
        <v/>
      </c>
      <c r="C887" s="4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>
      <c r="A888" s="4" t="str">
        <f t="array" ref="A888">rakuten_fact_daily_raw!A888
</f>
        <v/>
      </c>
      <c r="C888" s="4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>
      <c r="A889" s="4" t="str">
        <f t="array" ref="A889">rakuten_fact_daily_raw!A889
</f>
        <v/>
      </c>
      <c r="C889" s="4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>
      <c r="A890" s="4" t="str">
        <f t="array" ref="A890">rakuten_fact_daily_raw!A890
</f>
        <v/>
      </c>
      <c r="C890" s="4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>
      <c r="A891" s="4" t="str">
        <f t="array" ref="A891">rakuten_fact_daily_raw!A891
</f>
        <v/>
      </c>
      <c r="C891" s="4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>
      <c r="A892" s="4" t="str">
        <f t="array" ref="A892">rakuten_fact_daily_raw!A892
</f>
        <v/>
      </c>
      <c r="C892" s="4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>
      <c r="A893" s="4" t="str">
        <f t="array" ref="A893">rakuten_fact_daily_raw!A893
</f>
        <v/>
      </c>
      <c r="C893" s="4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>
      <c r="A894" s="4" t="str">
        <f t="array" ref="A894">rakuten_fact_daily_raw!A894
</f>
        <v/>
      </c>
      <c r="C894" s="4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>
      <c r="A895" s="4" t="str">
        <f t="array" ref="A895">rakuten_fact_daily_raw!A895
</f>
        <v/>
      </c>
      <c r="C895" s="4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>
      <c r="A896" s="4" t="str">
        <f t="array" ref="A896">rakuten_fact_daily_raw!A896
</f>
        <v/>
      </c>
      <c r="C896" s="4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>
      <c r="A897" s="4" t="str">
        <f t="array" ref="A897">rakuten_fact_daily_raw!A897
</f>
        <v/>
      </c>
      <c r="C897" s="4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>
      <c r="A898" s="4" t="str">
        <f t="array" ref="A898">rakuten_fact_daily_raw!A898
</f>
        <v/>
      </c>
      <c r="C898" s="4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>
      <c r="A899" s="4" t="str">
        <f t="array" ref="A899">rakuten_fact_daily_raw!A899
</f>
        <v/>
      </c>
      <c r="C899" s="4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>
      <c r="A900" s="4" t="str">
        <f t="array" ref="A900">rakuten_fact_daily_raw!A900
</f>
        <v/>
      </c>
      <c r="C900" s="4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>
      <c r="A901" s="4" t="str">
        <f t="array" ref="A901">rakuten_fact_daily_raw!A901
</f>
        <v/>
      </c>
      <c r="C901" s="4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>
      <c r="A902" s="4" t="str">
        <f t="array" ref="A902">rakuten_fact_daily_raw!A902
</f>
        <v/>
      </c>
      <c r="C902" s="4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>
      <c r="A903" s="4" t="str">
        <f t="array" ref="A903">rakuten_fact_daily_raw!A903
</f>
        <v/>
      </c>
      <c r="C903" s="4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>
      <c r="A904" s="4" t="str">
        <f t="array" ref="A904">rakuten_fact_daily_raw!A904
</f>
        <v/>
      </c>
      <c r="C904" s="4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>
      <c r="A905" s="4" t="str">
        <f t="array" ref="A905">rakuten_fact_daily_raw!A905
</f>
        <v/>
      </c>
      <c r="C905" s="4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>
      <c r="A906" s="4" t="str">
        <f t="array" ref="A906">rakuten_fact_daily_raw!A906
</f>
        <v/>
      </c>
      <c r="C906" s="4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>
      <c r="A907" s="4" t="str">
        <f t="array" ref="A907">rakuten_fact_daily_raw!A907
</f>
        <v/>
      </c>
      <c r="C907" s="4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>
      <c r="A908" s="4" t="str">
        <f t="array" ref="A908">rakuten_fact_daily_raw!A908
</f>
        <v/>
      </c>
      <c r="C908" s="4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>
      <c r="A909" s="4" t="str">
        <f t="array" ref="A909">rakuten_fact_daily_raw!A909
</f>
        <v/>
      </c>
      <c r="C909" s="4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>
      <c r="A910" s="4" t="str">
        <f t="array" ref="A910">rakuten_fact_daily_raw!A910
</f>
        <v/>
      </c>
      <c r="C910" s="4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>
      <c r="A911" s="4" t="str">
        <f t="array" ref="A911">rakuten_fact_daily_raw!A911
</f>
        <v/>
      </c>
      <c r="C911" s="4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>
      <c r="A912" s="4" t="str">
        <f t="array" ref="A912">rakuten_fact_daily_raw!A912
</f>
        <v/>
      </c>
      <c r="C912" s="4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>
      <c r="A913" s="4" t="str">
        <f t="array" ref="A913">rakuten_fact_daily_raw!A913
</f>
        <v/>
      </c>
      <c r="C913" s="4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>
      <c r="A914" s="4" t="str">
        <f t="array" ref="A914">rakuten_fact_daily_raw!A914
</f>
        <v/>
      </c>
      <c r="C914" s="4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>
      <c r="A915" s="4" t="str">
        <f t="array" ref="A915">rakuten_fact_daily_raw!A915
</f>
        <v/>
      </c>
      <c r="C915" s="4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>
      <c r="A916" s="4" t="str">
        <f t="array" ref="A916">rakuten_fact_daily_raw!A916
</f>
        <v/>
      </c>
      <c r="C916" s="4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>
      <c r="A917" s="4" t="str">
        <f t="array" ref="A917">rakuten_fact_daily_raw!A917
</f>
        <v/>
      </c>
      <c r="C917" s="4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>
      <c r="A918" s="4" t="str">
        <f t="array" ref="A918">rakuten_fact_daily_raw!A918
</f>
        <v/>
      </c>
      <c r="C918" s="4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>
      <c r="A919" s="4" t="str">
        <f t="array" ref="A919">rakuten_fact_daily_raw!A919
</f>
        <v/>
      </c>
      <c r="C919" s="4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>
      <c r="A920" s="4" t="str">
        <f t="array" ref="A920">rakuten_fact_daily_raw!A920
</f>
        <v/>
      </c>
      <c r="C920" s="4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>
      <c r="A921" s="4" t="str">
        <f t="array" ref="A921">rakuten_fact_daily_raw!A921
</f>
        <v/>
      </c>
      <c r="C921" s="4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>
      <c r="A922" s="4" t="str">
        <f t="array" ref="A922">rakuten_fact_daily_raw!A922
</f>
        <v/>
      </c>
      <c r="C922" s="4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>
      <c r="A923" s="4" t="str">
        <f t="array" ref="A923">rakuten_fact_daily_raw!A923
</f>
        <v/>
      </c>
      <c r="C923" s="4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>
      <c r="A924" s="4" t="str">
        <f t="array" ref="A924">rakuten_fact_daily_raw!A924
</f>
        <v/>
      </c>
      <c r="C924" s="4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>
      <c r="A925" s="4" t="str">
        <f t="array" ref="A925">rakuten_fact_daily_raw!A925
</f>
        <v/>
      </c>
      <c r="C925" s="4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>
      <c r="A926" s="4" t="str">
        <f t="array" ref="A926">rakuten_fact_daily_raw!A926
</f>
        <v/>
      </c>
      <c r="C926" s="4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>
      <c r="A927" s="4" t="str">
        <f t="array" ref="A927">rakuten_fact_daily_raw!A927
</f>
        <v/>
      </c>
      <c r="C927" s="4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>
      <c r="A928" s="4" t="str">
        <f t="array" ref="A928">rakuten_fact_daily_raw!A928
</f>
        <v/>
      </c>
      <c r="C928" s="4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>
      <c r="A929" s="4" t="str">
        <f t="array" ref="A929">rakuten_fact_daily_raw!A929
</f>
        <v/>
      </c>
      <c r="C929" s="4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>
      <c r="A930" s="4" t="str">
        <f t="array" ref="A930">rakuten_fact_daily_raw!A930
</f>
        <v/>
      </c>
      <c r="C930" s="4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>
      <c r="A931" s="4" t="str">
        <f t="array" ref="A931">rakuten_fact_daily_raw!A931
</f>
        <v/>
      </c>
      <c r="C931" s="4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>
      <c r="A932" s="4" t="str">
        <f t="array" ref="A932">rakuten_fact_daily_raw!A932
</f>
        <v/>
      </c>
      <c r="C932" s="4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>
      <c r="A933" s="4" t="str">
        <f t="array" ref="A933">rakuten_fact_daily_raw!A933
</f>
        <v/>
      </c>
      <c r="C933" s="4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>
      <c r="A934" s="4" t="str">
        <f t="array" ref="A934">rakuten_fact_daily_raw!A934
</f>
        <v/>
      </c>
      <c r="C934" s="4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>
      <c r="A935" s="4" t="str">
        <f t="array" ref="A935">rakuten_fact_daily_raw!A935
</f>
        <v/>
      </c>
      <c r="C935" s="4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>
      <c r="A936" s="4" t="str">
        <f t="array" ref="A936">rakuten_fact_daily_raw!A936
</f>
        <v/>
      </c>
      <c r="C936" s="4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>
      <c r="A937" s="4" t="str">
        <f t="array" ref="A937">rakuten_fact_daily_raw!A937
</f>
        <v/>
      </c>
      <c r="C937" s="4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>
      <c r="A938" s="4" t="str">
        <f t="array" ref="A938">rakuten_fact_daily_raw!A938
</f>
        <v/>
      </c>
      <c r="C938" s="4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>
      <c r="A939" s="4" t="str">
        <f t="array" ref="A939">rakuten_fact_daily_raw!A939
</f>
        <v/>
      </c>
      <c r="C939" s="4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>
      <c r="A940" s="4" t="str">
        <f t="array" ref="A940">rakuten_fact_daily_raw!A940
</f>
        <v/>
      </c>
      <c r="C940" s="4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>
      <c r="A941" s="4" t="str">
        <f t="array" ref="A941">rakuten_fact_daily_raw!A941
</f>
        <v/>
      </c>
      <c r="C941" s="4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>
      <c r="A942" s="4" t="str">
        <f t="array" ref="A942">rakuten_fact_daily_raw!A942
</f>
        <v/>
      </c>
      <c r="C942" s="4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>
      <c r="A943" s="4" t="str">
        <f t="array" ref="A943">rakuten_fact_daily_raw!A943
</f>
        <v/>
      </c>
      <c r="C943" s="4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>
      <c r="A944" s="4" t="str">
        <f t="array" ref="A944">rakuten_fact_daily_raw!A944
</f>
        <v/>
      </c>
      <c r="C944" s="4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>
      <c r="A945" s="4" t="str">
        <f t="array" ref="A945">rakuten_fact_daily_raw!A945
</f>
        <v/>
      </c>
      <c r="C945" s="4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>
      <c r="A946" s="4" t="str">
        <f t="array" ref="A946">rakuten_fact_daily_raw!A946
</f>
        <v/>
      </c>
      <c r="C946" s="4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>
      <c r="A947" s="4" t="str">
        <f t="array" ref="A947">rakuten_fact_daily_raw!A947
</f>
        <v/>
      </c>
      <c r="C947" s="4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>
      <c r="A948" s="4" t="str">
        <f t="array" ref="A948">rakuten_fact_daily_raw!A948
</f>
        <v/>
      </c>
      <c r="C948" s="4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>
      <c r="A949" s="4" t="str">
        <f t="array" ref="A949">rakuten_fact_daily_raw!A949
</f>
        <v/>
      </c>
      <c r="C949" s="4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>
      <c r="A950" s="4" t="str">
        <f t="array" ref="A950">rakuten_fact_daily_raw!A950
</f>
        <v/>
      </c>
      <c r="C950" s="4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>
      <c r="A951" s="4" t="str">
        <f t="array" ref="A951">rakuten_fact_daily_raw!A951
</f>
        <v/>
      </c>
      <c r="C951" s="4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>
      <c r="A952" s="4" t="str">
        <f t="array" ref="A952">rakuten_fact_daily_raw!A952
</f>
        <v/>
      </c>
      <c r="C952" s="4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>
      <c r="A953" s="4" t="str">
        <f t="array" ref="A953">rakuten_fact_daily_raw!A953
</f>
        <v/>
      </c>
      <c r="C953" s="4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>
      <c r="A954" s="4" t="str">
        <f t="array" ref="A954">rakuten_fact_daily_raw!A954
</f>
        <v/>
      </c>
      <c r="C954" s="4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>
      <c r="A955" s="4" t="str">
        <f t="array" ref="A955">rakuten_fact_daily_raw!A955
</f>
        <v/>
      </c>
      <c r="C955" s="4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>
      <c r="A956" s="4" t="str">
        <f t="array" ref="A956">rakuten_fact_daily_raw!A956
</f>
        <v/>
      </c>
      <c r="C956" s="4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>
      <c r="A957" s="4" t="str">
        <f t="array" ref="A957">rakuten_fact_daily_raw!A957
</f>
        <v/>
      </c>
      <c r="C957" s="4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>
      <c r="A958" s="4" t="str">
        <f t="array" ref="A958">rakuten_fact_daily_raw!A958
</f>
        <v/>
      </c>
      <c r="C958" s="4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>
      <c r="A959" s="4" t="str">
        <f t="array" ref="A959">rakuten_fact_daily_raw!A959
</f>
        <v/>
      </c>
      <c r="C959" s="4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>
      <c r="A960" s="4" t="str">
        <f t="array" ref="A960">rakuten_fact_daily_raw!A960
</f>
        <v/>
      </c>
      <c r="C960" s="4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>
      <c r="A961" s="4" t="str">
        <f t="array" ref="A961">rakuten_fact_daily_raw!A961
</f>
        <v/>
      </c>
      <c r="C961" s="4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>
      <c r="A962" s="4" t="str">
        <f t="array" ref="A962">rakuten_fact_daily_raw!A962
</f>
        <v/>
      </c>
      <c r="C962" s="4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>
      <c r="A963" s="4" t="str">
        <f t="array" ref="A963">rakuten_fact_daily_raw!A963
</f>
        <v/>
      </c>
      <c r="C963" s="4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>
      <c r="A964" s="4" t="str">
        <f t="array" ref="A964">rakuten_fact_daily_raw!A964
</f>
        <v/>
      </c>
      <c r="C964" s="4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>
      <c r="A965" s="4" t="str">
        <f t="array" ref="A965">rakuten_fact_daily_raw!A965
</f>
        <v/>
      </c>
      <c r="C965" s="4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>
      <c r="A966" s="4" t="str">
        <f t="array" ref="A966">rakuten_fact_daily_raw!A966
</f>
        <v/>
      </c>
      <c r="C966" s="4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>
      <c r="A967" s="4" t="str">
        <f t="array" ref="A967">rakuten_fact_daily_raw!A967
</f>
        <v/>
      </c>
      <c r="C967" s="4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>
      <c r="A968" s="4" t="str">
        <f t="array" ref="A968">rakuten_fact_daily_raw!A968
</f>
        <v/>
      </c>
      <c r="C968" s="4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>
      <c r="A969" s="4" t="str">
        <f t="array" ref="A969">rakuten_fact_daily_raw!A969
</f>
        <v/>
      </c>
      <c r="C969" s="4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>
      <c r="A970" s="4" t="str">
        <f t="array" ref="A970">rakuten_fact_daily_raw!A970
</f>
        <v/>
      </c>
      <c r="C970" s="4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>
      <c r="A971" s="4" t="str">
        <f t="array" ref="A971">rakuten_fact_daily_raw!A971
</f>
        <v/>
      </c>
      <c r="C971" s="4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>
      <c r="A972" s="4" t="str">
        <f t="array" ref="A972">rakuten_fact_daily_raw!A972
</f>
        <v/>
      </c>
      <c r="C972" s="4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>
      <c r="A973" s="4" t="str">
        <f t="array" ref="A973">rakuten_fact_daily_raw!A973
</f>
        <v/>
      </c>
      <c r="C973" s="4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>
      <c r="A974" s="4" t="str">
        <f t="array" ref="A974">rakuten_fact_daily_raw!A974
</f>
        <v/>
      </c>
      <c r="C974" s="4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>
      <c r="A975" s="4" t="str">
        <f t="array" ref="A975">rakuten_fact_daily_raw!A975
</f>
        <v/>
      </c>
      <c r="C975" s="4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>
      <c r="A976" s="4" t="str">
        <f t="array" ref="A976">rakuten_fact_daily_raw!A976
</f>
        <v/>
      </c>
      <c r="C976" s="4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>
      <c r="A977" s="4" t="str">
        <f t="array" ref="A977">rakuten_fact_daily_raw!A977
</f>
        <v/>
      </c>
      <c r="C977" s="4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>
      <c r="A978" s="4" t="str">
        <f t="array" ref="A978">rakuten_fact_daily_raw!A978
</f>
        <v/>
      </c>
      <c r="C978" s="4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>
      <c r="A979" s="4" t="str">
        <f t="array" ref="A979">rakuten_fact_daily_raw!A979
</f>
        <v/>
      </c>
      <c r="C979" s="4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>
      <c r="A980" s="4" t="str">
        <f t="array" ref="A980">rakuten_fact_daily_raw!A980
</f>
        <v/>
      </c>
      <c r="C980" s="4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>
      <c r="A981" s="4" t="str">
        <f t="array" ref="A981">rakuten_fact_daily_raw!A981
</f>
        <v/>
      </c>
      <c r="C981" s="4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>
      <c r="A982" s="4" t="str">
        <f t="array" ref="A982">rakuten_fact_daily_raw!A982
</f>
        <v/>
      </c>
      <c r="C982" s="4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>
      <c r="A983" s="4" t="str">
        <f t="array" ref="A983">rakuten_fact_daily_raw!A983
</f>
        <v/>
      </c>
      <c r="C983" s="4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>
      <c r="A984" s="4" t="str">
        <f t="array" ref="A984">rakuten_fact_daily_raw!A984
</f>
        <v/>
      </c>
      <c r="C984" s="4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>
      <c r="A985" s="4" t="str">
        <f t="array" ref="A985">rakuten_fact_daily_raw!A985
</f>
        <v/>
      </c>
      <c r="C985" s="4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>
      <c r="A986" s="4" t="str">
        <f t="array" ref="A986">rakuten_fact_daily_raw!A986
</f>
        <v/>
      </c>
      <c r="C986" s="4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>
      <c r="A987" s="4" t="str">
        <f t="array" ref="A987">rakuten_fact_daily_raw!A987
</f>
        <v/>
      </c>
      <c r="C987" s="4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>
      <c r="A988" s="4" t="str">
        <f t="array" ref="A988">rakuten_fact_daily_raw!A988
</f>
        <v/>
      </c>
      <c r="C988" s="4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>
      <c r="A989" s="4" t="str">
        <f t="array" ref="A989">rakuten_fact_daily_raw!A989
</f>
        <v/>
      </c>
      <c r="C989" s="4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>
      <c r="A990" s="4" t="str">
        <f t="array" ref="A990">rakuten_fact_daily_raw!A990
</f>
        <v/>
      </c>
      <c r="C990" s="4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>
      <c r="A991" s="4" t="str">
        <f t="array" ref="A991">rakuten_fact_daily_raw!A991
</f>
        <v/>
      </c>
      <c r="C991" s="4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>
      <c r="A992" s="4" t="str">
        <f t="array" ref="A992">rakuten_fact_daily_raw!A992
</f>
        <v/>
      </c>
      <c r="C992" s="4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>
      <c r="A993" s="4" t="str">
        <f t="array" ref="A993">rakuten_fact_daily_raw!A993
</f>
        <v/>
      </c>
      <c r="C993" s="4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>
      <c r="A994" s="4" t="str">
        <f t="array" ref="A994">rakuten_fact_daily_raw!A994
</f>
        <v/>
      </c>
      <c r="C994" s="4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>
      <c r="A995" s="4" t="str">
        <f t="array" ref="A995">rakuten_fact_daily_raw!A995
</f>
        <v/>
      </c>
      <c r="C995" s="4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>
      <c r="A996" s="4" t="str">
        <f t="array" ref="A996">rakuten_fact_daily_raw!A996
</f>
        <v/>
      </c>
      <c r="C996" s="4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>
      <c r="A997" s="4" t="str">
        <f t="array" ref="A997">rakuten_fact_daily_raw!A997
</f>
        <v/>
      </c>
      <c r="C997" s="4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>
      <c r="A998" s="4" t="str">
        <f t="array" ref="A998">rakuten_fact_daily_raw!A998
</f>
        <v/>
      </c>
      <c r="C998" s="4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>
      <c r="A999" s="4" t="str">
        <f t="array" ref="A999">rakuten_fact_daily_raw!A999
</f>
        <v/>
      </c>
      <c r="C999" s="4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>
      <c r="A1000" s="4" t="str">
        <f t="array" ref="A1000">rakuten_fact_daily_raw!A1000
</f>
        <v/>
      </c>
      <c r="C1000" s="4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119</v>
      </c>
      <c r="B1" s="6" t="s">
        <v>120</v>
      </c>
      <c r="C1" s="6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150</v>
      </c>
      <c r="G2" s="1" t="s">
        <v>151</v>
      </c>
      <c r="H2" s="1" t="s">
        <v>152</v>
      </c>
      <c r="I2" s="1" t="s">
        <v>153</v>
      </c>
      <c r="J2" s="1" t="s">
        <v>154</v>
      </c>
      <c r="K2" s="1" t="s">
        <v>155</v>
      </c>
      <c r="L2" s="1" t="s">
        <v>156</v>
      </c>
      <c r="M2" s="1" t="s">
        <v>157</v>
      </c>
      <c r="N2" s="1" t="s">
        <v>158</v>
      </c>
      <c r="O2" s="1" t="s">
        <v>159</v>
      </c>
      <c r="P2" s="1" t="s">
        <v>160</v>
      </c>
      <c r="Q2" s="1" t="s">
        <v>161</v>
      </c>
      <c r="R2" s="1" t="s">
        <v>162</v>
      </c>
      <c r="S2" s="1" t="s">
        <v>163</v>
      </c>
      <c r="T2" s="1" t="s">
        <v>164</v>
      </c>
      <c r="U2" s="1" t="s">
        <v>165</v>
      </c>
      <c r="V2" s="1" t="s">
        <v>166</v>
      </c>
      <c r="W2" s="1" t="s">
        <v>167</v>
      </c>
      <c r="X2" s="1" t="s">
        <v>168</v>
      </c>
      <c r="Y2" s="1" t="s">
        <v>169</v>
      </c>
      <c r="Z2" s="1" t="s">
        <v>170</v>
      </c>
      <c r="AA2" s="1" t="s">
        <v>171</v>
      </c>
      <c r="AB2" s="1" t="s">
        <v>172</v>
      </c>
      <c r="AC2" s="1" t="s">
        <v>173</v>
      </c>
      <c r="AD2" s="1" t="s">
        <v>174</v>
      </c>
      <c r="AE2" s="1" t="s">
        <v>175</v>
      </c>
      <c r="AF2" s="1" t="s">
        <v>176</v>
      </c>
      <c r="AG2" s="1" t="s">
        <v>177</v>
      </c>
    </row>
    <row r="3">
      <c r="A3" s="7">
        <v>45962.0</v>
      </c>
      <c r="B3" s="6">
        <v>4.512345678001E12</v>
      </c>
      <c r="C3" s="6" t="s">
        <v>178</v>
      </c>
      <c r="D3" s="6" t="s">
        <v>179</v>
      </c>
      <c r="E3" s="6" t="s">
        <v>180</v>
      </c>
      <c r="F3" s="6">
        <v>1646.0</v>
      </c>
      <c r="G3" s="6">
        <v>49.0</v>
      </c>
      <c r="H3" s="6">
        <v>56.0</v>
      </c>
      <c r="I3" s="6">
        <v>280000.0</v>
      </c>
      <c r="J3" s="6">
        <v>5000.0</v>
      </c>
      <c r="K3" s="6">
        <v>0.0</v>
      </c>
      <c r="L3" s="6">
        <v>2800.0</v>
      </c>
      <c r="M3" s="6">
        <v>4900.0</v>
      </c>
      <c r="N3" s="6">
        <v>22400.0</v>
      </c>
      <c r="O3" s="6">
        <v>28000.0</v>
      </c>
      <c r="P3" s="6">
        <v>168000.0</v>
      </c>
      <c r="Q3" s="6">
        <v>24500.0</v>
      </c>
      <c r="R3" s="6">
        <v>0.0</v>
      </c>
      <c r="S3" s="6">
        <v>2500.0</v>
      </c>
      <c r="T3" s="6">
        <v>444.0</v>
      </c>
      <c r="U3" s="6">
        <v>3.8</v>
      </c>
      <c r="V3" s="6">
        <v>150.0</v>
      </c>
      <c r="W3" s="6">
        <v>5.0</v>
      </c>
      <c r="X3" s="6" t="s">
        <v>181</v>
      </c>
      <c r="Y3" s="6">
        <v>1.0</v>
      </c>
    </row>
    <row r="4">
      <c r="A4" s="7">
        <v>45962.0</v>
      </c>
      <c r="B4" s="6">
        <v>4.512345678002E12</v>
      </c>
      <c r="C4" s="6" t="s">
        <v>106</v>
      </c>
      <c r="D4" s="6" t="s">
        <v>107</v>
      </c>
      <c r="E4" s="6" t="s">
        <v>108</v>
      </c>
      <c r="F4" s="6">
        <v>1107.0</v>
      </c>
      <c r="G4" s="6">
        <v>29.0</v>
      </c>
      <c r="H4" s="6">
        <v>32.0</v>
      </c>
      <c r="I4" s="6">
        <v>96000.0</v>
      </c>
      <c r="J4" s="6">
        <v>3000.0</v>
      </c>
      <c r="K4" s="6">
        <v>0.0</v>
      </c>
      <c r="L4" s="6">
        <v>960.0</v>
      </c>
      <c r="M4" s="6">
        <v>0.0</v>
      </c>
      <c r="N4" s="6">
        <v>7680.0</v>
      </c>
      <c r="O4" s="6">
        <v>9600.0</v>
      </c>
      <c r="P4" s="6">
        <v>57600.0</v>
      </c>
      <c r="Q4" s="6">
        <v>14500.0</v>
      </c>
      <c r="R4" s="6">
        <v>0.0</v>
      </c>
      <c r="S4" s="6">
        <v>900.0</v>
      </c>
      <c r="T4" s="6">
        <v>268.0</v>
      </c>
      <c r="U4" s="6">
        <v>4.2</v>
      </c>
      <c r="V4" s="6">
        <v>80.0</v>
      </c>
      <c r="W4" s="6">
        <v>10.0</v>
      </c>
      <c r="X4" s="6" t="s">
        <v>182</v>
      </c>
      <c r="Y4" s="6">
        <v>12.0</v>
      </c>
    </row>
    <row r="5">
      <c r="A5" s="7">
        <v>45962.0</v>
      </c>
      <c r="B5" s="6">
        <v>4.512345678003E12</v>
      </c>
      <c r="C5" s="6" t="s">
        <v>110</v>
      </c>
      <c r="D5" s="6" t="s">
        <v>111</v>
      </c>
      <c r="E5" s="6" t="s">
        <v>112</v>
      </c>
      <c r="F5" s="6">
        <v>3118.0</v>
      </c>
      <c r="G5" s="6">
        <v>163.0</v>
      </c>
      <c r="H5" s="6">
        <v>174.0</v>
      </c>
      <c r="I5" s="6">
        <v>522000.0</v>
      </c>
      <c r="J5" s="6">
        <v>3000.0</v>
      </c>
      <c r="K5" s="6">
        <v>0.0</v>
      </c>
      <c r="L5" s="6">
        <v>5220.0</v>
      </c>
      <c r="M5" s="6">
        <v>16300.0</v>
      </c>
      <c r="N5" s="6">
        <v>41760.0</v>
      </c>
      <c r="O5" s="6">
        <v>26100.0</v>
      </c>
      <c r="P5" s="6">
        <v>313200.0</v>
      </c>
      <c r="Q5" s="6">
        <v>81500.0</v>
      </c>
      <c r="R5" s="6">
        <v>0.0</v>
      </c>
      <c r="S5" s="6">
        <v>1800.0</v>
      </c>
      <c r="T5" s="6">
        <v>826.0</v>
      </c>
      <c r="U5" s="6">
        <v>3.5</v>
      </c>
      <c r="V5" s="6">
        <v>300.0</v>
      </c>
      <c r="W5" s="6">
        <v>1.0</v>
      </c>
      <c r="X5" s="6" t="s">
        <v>183</v>
      </c>
      <c r="Y5" s="6">
        <v>1.0</v>
      </c>
    </row>
    <row r="6">
      <c r="A6" s="7">
        <v>45962.0</v>
      </c>
      <c r="B6" s="6">
        <v>4.512345678004E12</v>
      </c>
      <c r="C6" s="6" t="s">
        <v>113</v>
      </c>
      <c r="D6" s="6" t="s">
        <v>114</v>
      </c>
      <c r="E6" s="6" t="s">
        <v>115</v>
      </c>
      <c r="F6" s="6">
        <v>817.0</v>
      </c>
      <c r="G6" s="6">
        <v>11.0</v>
      </c>
      <c r="H6" s="6">
        <v>12.0</v>
      </c>
      <c r="I6" s="6">
        <v>36000.0</v>
      </c>
      <c r="J6" s="6">
        <v>3000.0</v>
      </c>
      <c r="K6" s="6">
        <v>0.0</v>
      </c>
      <c r="L6" s="6">
        <v>360.0</v>
      </c>
      <c r="M6" s="6">
        <v>1100.0</v>
      </c>
      <c r="N6" s="6">
        <v>2880.0</v>
      </c>
      <c r="O6" s="6">
        <v>5400.0</v>
      </c>
      <c r="P6" s="6">
        <v>21600.0</v>
      </c>
      <c r="Q6" s="6">
        <v>5500.0</v>
      </c>
      <c r="R6" s="6">
        <v>0.0</v>
      </c>
      <c r="S6" s="6">
        <v>600.0</v>
      </c>
      <c r="T6" s="6">
        <v>188.0</v>
      </c>
      <c r="U6" s="6">
        <v>4.5</v>
      </c>
      <c r="V6" s="6">
        <v>60.0</v>
      </c>
      <c r="W6" s="6">
        <v>16.0</v>
      </c>
      <c r="X6" s="6" t="s">
        <v>184</v>
      </c>
      <c r="Y6" s="6">
        <v>10.0</v>
      </c>
    </row>
    <row r="7">
      <c r="A7" s="7">
        <v>45962.0</v>
      </c>
      <c r="B7" s="6">
        <v>4.512345678005E12</v>
      </c>
      <c r="C7" s="6" t="s">
        <v>116</v>
      </c>
      <c r="D7" s="6" t="s">
        <v>117</v>
      </c>
      <c r="E7" s="6" t="s">
        <v>118</v>
      </c>
      <c r="F7" s="6">
        <v>64.0</v>
      </c>
      <c r="G7" s="6">
        <v>0.0</v>
      </c>
      <c r="H7" s="6">
        <v>0.0</v>
      </c>
      <c r="I7" s="6">
        <v>0.0</v>
      </c>
      <c r="J7" s="6">
        <v>4500.0</v>
      </c>
      <c r="K7" s="6">
        <v>0.0</v>
      </c>
      <c r="L7" s="6">
        <v>0.0</v>
      </c>
      <c r="M7" s="6">
        <v>0.0</v>
      </c>
      <c r="N7" s="6">
        <v>0.0</v>
      </c>
      <c r="O7" s="6">
        <v>500.0</v>
      </c>
      <c r="P7" s="6">
        <v>0.0</v>
      </c>
      <c r="Q7" s="6">
        <v>0.0</v>
      </c>
      <c r="R7" s="6">
        <v>0.0</v>
      </c>
      <c r="S7" s="6">
        <v>2000.0</v>
      </c>
      <c r="T7" s="6">
        <v>50.0</v>
      </c>
      <c r="U7" s="6">
        <v>3.8</v>
      </c>
      <c r="V7" s="6">
        <v>5.0</v>
      </c>
      <c r="W7" s="6">
        <v>32.0</v>
      </c>
      <c r="X7" s="6" t="s">
        <v>185</v>
      </c>
      <c r="Y7" s="6">
        <v>35.0</v>
      </c>
    </row>
    <row r="8">
      <c r="A8" s="7">
        <v>45963.0</v>
      </c>
      <c r="B8" s="6">
        <v>4.512345678001E12</v>
      </c>
      <c r="C8" s="6" t="s">
        <v>178</v>
      </c>
      <c r="D8" s="6" t="s">
        <v>179</v>
      </c>
      <c r="E8" s="6" t="s">
        <v>180</v>
      </c>
      <c r="F8" s="6">
        <v>1477.0</v>
      </c>
      <c r="G8" s="6">
        <v>45.0</v>
      </c>
      <c r="H8" s="6">
        <v>50.0</v>
      </c>
      <c r="I8" s="6">
        <v>250000.0</v>
      </c>
      <c r="J8" s="6">
        <v>5000.0</v>
      </c>
      <c r="K8" s="6">
        <v>0.0</v>
      </c>
      <c r="L8" s="6">
        <v>2500.0</v>
      </c>
      <c r="M8" s="6">
        <v>0.0</v>
      </c>
      <c r="N8" s="6">
        <v>20000.0</v>
      </c>
      <c r="O8" s="6">
        <v>25000.0</v>
      </c>
      <c r="P8" s="6">
        <v>150000.0</v>
      </c>
      <c r="Q8" s="6">
        <v>22500.0</v>
      </c>
      <c r="R8" s="6">
        <v>0.0</v>
      </c>
      <c r="S8" s="6">
        <v>2500.0</v>
      </c>
      <c r="T8" s="6">
        <v>394.0</v>
      </c>
      <c r="U8" s="6">
        <v>4.0</v>
      </c>
      <c r="V8" s="6">
        <v>151.0</v>
      </c>
      <c r="W8" s="6">
        <v>6.0</v>
      </c>
      <c r="X8" s="6" t="s">
        <v>181</v>
      </c>
      <c r="Y8" s="6">
        <v>5.0</v>
      </c>
    </row>
    <row r="9">
      <c r="A9" s="7">
        <v>45963.0</v>
      </c>
      <c r="B9" s="6">
        <v>4.512345678002E12</v>
      </c>
      <c r="C9" s="6" t="s">
        <v>106</v>
      </c>
      <c r="D9" s="6" t="s">
        <v>107</v>
      </c>
      <c r="E9" s="6" t="s">
        <v>108</v>
      </c>
      <c r="F9" s="6">
        <v>874.0</v>
      </c>
      <c r="G9" s="6">
        <v>20.0</v>
      </c>
      <c r="H9" s="6">
        <v>21.0</v>
      </c>
      <c r="I9" s="6">
        <v>63000.0</v>
      </c>
      <c r="J9" s="6">
        <v>3000.0</v>
      </c>
      <c r="K9" s="6">
        <v>0.0</v>
      </c>
      <c r="L9" s="6">
        <v>630.0</v>
      </c>
      <c r="M9" s="6">
        <v>0.0</v>
      </c>
      <c r="N9" s="6">
        <v>5040.0</v>
      </c>
      <c r="O9" s="6">
        <v>6300.0</v>
      </c>
      <c r="P9" s="6">
        <v>37800.0</v>
      </c>
      <c r="Q9" s="6">
        <v>10000.0</v>
      </c>
      <c r="R9" s="6">
        <v>0.0</v>
      </c>
      <c r="S9" s="6">
        <v>900.0</v>
      </c>
      <c r="T9" s="6">
        <v>247.0</v>
      </c>
      <c r="U9" s="6">
        <v>4.2</v>
      </c>
      <c r="V9" s="6">
        <v>81.0</v>
      </c>
      <c r="W9" s="6">
        <v>8.0</v>
      </c>
      <c r="X9" s="6" t="s">
        <v>182</v>
      </c>
      <c r="Y9" s="6">
        <v>5.0</v>
      </c>
    </row>
    <row r="10">
      <c r="A10" s="7">
        <v>45963.0</v>
      </c>
      <c r="B10" s="6">
        <v>4.512345678003E12</v>
      </c>
      <c r="C10" s="6" t="s">
        <v>110</v>
      </c>
      <c r="D10" s="6" t="s">
        <v>111</v>
      </c>
      <c r="E10" s="6" t="s">
        <v>112</v>
      </c>
      <c r="F10" s="6">
        <v>3218.0</v>
      </c>
      <c r="G10" s="6">
        <v>182.0</v>
      </c>
      <c r="H10" s="6">
        <v>206.0</v>
      </c>
      <c r="I10" s="6">
        <v>618000.0</v>
      </c>
      <c r="J10" s="6">
        <v>3000.0</v>
      </c>
      <c r="K10" s="6">
        <v>0.0</v>
      </c>
      <c r="L10" s="6">
        <v>6180.0</v>
      </c>
      <c r="M10" s="6">
        <v>0.0</v>
      </c>
      <c r="N10" s="6">
        <v>49440.0</v>
      </c>
      <c r="O10" s="6">
        <v>30900.0</v>
      </c>
      <c r="P10" s="6">
        <v>370800.0</v>
      </c>
      <c r="Q10" s="6">
        <v>91000.0</v>
      </c>
      <c r="R10" s="6">
        <v>0.0</v>
      </c>
      <c r="S10" s="6">
        <v>1800.0</v>
      </c>
      <c r="T10" s="6">
        <v>620.0</v>
      </c>
      <c r="U10" s="6">
        <v>4.7</v>
      </c>
      <c r="V10" s="6">
        <v>301.0</v>
      </c>
      <c r="W10" s="6">
        <v>1.0</v>
      </c>
      <c r="X10" s="6" t="s">
        <v>183</v>
      </c>
      <c r="Y10" s="6">
        <v>1.0</v>
      </c>
    </row>
    <row r="11">
      <c r="A11" s="7">
        <v>45963.0</v>
      </c>
      <c r="B11" s="6">
        <v>4.512345678004E12</v>
      </c>
      <c r="C11" s="6" t="s">
        <v>113</v>
      </c>
      <c r="D11" s="6" t="s">
        <v>114</v>
      </c>
      <c r="E11" s="6" t="s">
        <v>115</v>
      </c>
      <c r="F11" s="6">
        <v>837.0</v>
      </c>
      <c r="G11" s="6">
        <v>16.0</v>
      </c>
      <c r="H11" s="6">
        <v>16.0</v>
      </c>
      <c r="I11" s="6">
        <v>48000.0</v>
      </c>
      <c r="J11" s="6">
        <v>3000.0</v>
      </c>
      <c r="K11" s="6">
        <v>0.0</v>
      </c>
      <c r="L11" s="6">
        <v>480.0</v>
      </c>
      <c r="M11" s="6">
        <v>0.0</v>
      </c>
      <c r="N11" s="6">
        <v>3840.0</v>
      </c>
      <c r="O11" s="6">
        <v>7200.0</v>
      </c>
      <c r="P11" s="6">
        <v>28800.0</v>
      </c>
      <c r="Q11" s="6">
        <v>8000.0</v>
      </c>
      <c r="R11" s="6">
        <v>0.0</v>
      </c>
      <c r="S11" s="6">
        <v>600.0</v>
      </c>
      <c r="T11" s="6">
        <v>172.0</v>
      </c>
      <c r="U11" s="6">
        <v>4.4</v>
      </c>
      <c r="V11" s="6">
        <v>61.0</v>
      </c>
      <c r="W11" s="6">
        <v>13.0</v>
      </c>
      <c r="X11" s="6" t="s">
        <v>184</v>
      </c>
      <c r="Y11" s="6">
        <v>20.0</v>
      </c>
    </row>
    <row r="12">
      <c r="A12" s="7">
        <v>45963.0</v>
      </c>
      <c r="B12" s="6">
        <v>4.512345678005E12</v>
      </c>
      <c r="C12" s="6" t="s">
        <v>116</v>
      </c>
      <c r="D12" s="6" t="s">
        <v>117</v>
      </c>
      <c r="E12" s="6" t="s">
        <v>118</v>
      </c>
      <c r="F12" s="6">
        <v>70.0</v>
      </c>
      <c r="G12" s="6">
        <v>0.0</v>
      </c>
      <c r="H12" s="6">
        <v>0.0</v>
      </c>
      <c r="I12" s="6">
        <v>0.0</v>
      </c>
      <c r="J12" s="6">
        <v>4500.0</v>
      </c>
      <c r="K12" s="6">
        <v>0.0</v>
      </c>
      <c r="L12" s="6">
        <v>0.0</v>
      </c>
      <c r="M12" s="6">
        <v>0.0</v>
      </c>
      <c r="N12" s="6">
        <v>0.0</v>
      </c>
      <c r="O12" s="6">
        <v>500.0</v>
      </c>
      <c r="P12" s="6">
        <v>0.0</v>
      </c>
      <c r="Q12" s="6">
        <v>0.0</v>
      </c>
      <c r="R12" s="6">
        <v>0.0</v>
      </c>
      <c r="S12" s="6">
        <v>2000.0</v>
      </c>
      <c r="T12" s="6">
        <v>50.0</v>
      </c>
      <c r="U12" s="6">
        <v>3.5</v>
      </c>
      <c r="V12" s="6">
        <v>6.0</v>
      </c>
      <c r="W12" s="6">
        <v>33.0</v>
      </c>
      <c r="X12" s="6" t="s">
        <v>185</v>
      </c>
      <c r="Y12" s="6">
        <v>34.0</v>
      </c>
    </row>
    <row r="13">
      <c r="A13" s="7">
        <v>45964.0</v>
      </c>
      <c r="B13" s="6">
        <v>4.512345678001E12</v>
      </c>
      <c r="C13" s="6" t="s">
        <v>178</v>
      </c>
      <c r="D13" s="6" t="s">
        <v>179</v>
      </c>
      <c r="E13" s="6" t="s">
        <v>180</v>
      </c>
      <c r="F13" s="6">
        <v>1746.0</v>
      </c>
      <c r="G13" s="6">
        <v>46.0</v>
      </c>
      <c r="H13" s="6">
        <v>48.0</v>
      </c>
      <c r="I13" s="6">
        <v>240000.0</v>
      </c>
      <c r="J13" s="6">
        <v>5000.0</v>
      </c>
      <c r="K13" s="6">
        <v>0.0</v>
      </c>
      <c r="L13" s="6">
        <v>2400.0</v>
      </c>
      <c r="M13" s="6">
        <v>4600.0</v>
      </c>
      <c r="N13" s="6">
        <v>19200.0</v>
      </c>
      <c r="O13" s="6">
        <v>24000.0</v>
      </c>
      <c r="P13" s="6">
        <v>144000.0</v>
      </c>
      <c r="Q13" s="6">
        <v>23000.0</v>
      </c>
      <c r="R13" s="6">
        <v>0.0</v>
      </c>
      <c r="S13" s="6">
        <v>2500.0</v>
      </c>
      <c r="T13" s="6">
        <v>346.0</v>
      </c>
      <c r="U13" s="6">
        <v>4.5</v>
      </c>
      <c r="V13" s="6">
        <v>152.0</v>
      </c>
      <c r="W13" s="6">
        <v>1.0</v>
      </c>
      <c r="X13" s="6" t="s">
        <v>181</v>
      </c>
      <c r="Y13" s="6">
        <v>6.0</v>
      </c>
    </row>
    <row r="14">
      <c r="A14" s="7">
        <v>45964.0</v>
      </c>
      <c r="B14" s="6">
        <v>4.512345678002E12</v>
      </c>
      <c r="C14" s="6" t="s">
        <v>106</v>
      </c>
      <c r="D14" s="6" t="s">
        <v>107</v>
      </c>
      <c r="E14" s="6" t="s">
        <v>108</v>
      </c>
      <c r="F14" s="6">
        <v>743.0</v>
      </c>
      <c r="G14" s="6">
        <v>22.0</v>
      </c>
      <c r="H14" s="6">
        <v>23.0</v>
      </c>
      <c r="I14" s="6">
        <v>69000.0</v>
      </c>
      <c r="J14" s="6">
        <v>3000.0</v>
      </c>
      <c r="K14" s="6">
        <v>0.0</v>
      </c>
      <c r="L14" s="6">
        <v>690.0</v>
      </c>
      <c r="M14" s="6">
        <v>0.0</v>
      </c>
      <c r="N14" s="6">
        <v>5520.0</v>
      </c>
      <c r="O14" s="6">
        <v>6900.0</v>
      </c>
      <c r="P14" s="6">
        <v>41400.0</v>
      </c>
      <c r="Q14" s="6">
        <v>11000.0</v>
      </c>
      <c r="R14" s="6">
        <v>0.0</v>
      </c>
      <c r="S14" s="6">
        <v>900.0</v>
      </c>
      <c r="T14" s="6">
        <v>224.0</v>
      </c>
      <c r="U14" s="6">
        <v>3.9</v>
      </c>
      <c r="V14" s="6">
        <v>82.0</v>
      </c>
      <c r="W14" s="6">
        <v>12.0</v>
      </c>
      <c r="X14" s="6" t="s">
        <v>182</v>
      </c>
      <c r="Y14" s="6">
        <v>4.0</v>
      </c>
    </row>
    <row r="15">
      <c r="A15" s="7">
        <v>45964.0</v>
      </c>
      <c r="B15" s="6">
        <v>4.512345678003E12</v>
      </c>
      <c r="C15" s="6" t="s">
        <v>110</v>
      </c>
      <c r="D15" s="6" t="s">
        <v>111</v>
      </c>
      <c r="E15" s="6" t="s">
        <v>112</v>
      </c>
      <c r="F15" s="6">
        <v>3021.0</v>
      </c>
      <c r="G15" s="6">
        <v>171.0</v>
      </c>
      <c r="H15" s="6">
        <v>196.0</v>
      </c>
      <c r="I15" s="6">
        <v>588000.0</v>
      </c>
      <c r="J15" s="6">
        <v>3000.0</v>
      </c>
      <c r="K15" s="6">
        <v>0.0</v>
      </c>
      <c r="L15" s="6">
        <v>5880.0</v>
      </c>
      <c r="M15" s="6">
        <v>17100.0</v>
      </c>
      <c r="N15" s="6">
        <v>47040.0</v>
      </c>
      <c r="O15" s="6">
        <v>29400.0</v>
      </c>
      <c r="P15" s="6">
        <v>352800.0</v>
      </c>
      <c r="Q15" s="6">
        <v>85500.0</v>
      </c>
      <c r="R15" s="6">
        <v>0.0</v>
      </c>
      <c r="S15" s="6">
        <v>1800.0</v>
      </c>
      <c r="T15" s="6">
        <v>424.0</v>
      </c>
      <c r="U15" s="6">
        <v>4.0</v>
      </c>
      <c r="V15" s="6">
        <v>302.0</v>
      </c>
      <c r="W15" s="6">
        <v>1.0</v>
      </c>
      <c r="X15" s="6" t="s">
        <v>183</v>
      </c>
      <c r="Y15" s="6">
        <v>2.0</v>
      </c>
    </row>
    <row r="16">
      <c r="A16" s="7">
        <v>45964.0</v>
      </c>
      <c r="B16" s="6">
        <v>4.512345678004E12</v>
      </c>
      <c r="C16" s="6" t="s">
        <v>113</v>
      </c>
      <c r="D16" s="6" t="s">
        <v>114</v>
      </c>
      <c r="E16" s="6" t="s">
        <v>115</v>
      </c>
      <c r="F16" s="6">
        <v>533.0</v>
      </c>
      <c r="G16" s="6">
        <v>14.0</v>
      </c>
      <c r="H16" s="6">
        <v>15.0</v>
      </c>
      <c r="I16" s="6">
        <v>45000.0</v>
      </c>
      <c r="J16" s="6">
        <v>3000.0</v>
      </c>
      <c r="K16" s="6">
        <v>0.0</v>
      </c>
      <c r="L16" s="6">
        <v>450.0</v>
      </c>
      <c r="M16" s="6">
        <v>1400.0</v>
      </c>
      <c r="N16" s="6">
        <v>3600.0</v>
      </c>
      <c r="O16" s="6">
        <v>6750.0</v>
      </c>
      <c r="P16" s="6">
        <v>27000.0</v>
      </c>
      <c r="Q16" s="6">
        <v>7000.0</v>
      </c>
      <c r="R16" s="6">
        <v>0.0</v>
      </c>
      <c r="S16" s="6">
        <v>600.0</v>
      </c>
      <c r="T16" s="6">
        <v>157.0</v>
      </c>
      <c r="U16" s="6">
        <v>4.3</v>
      </c>
      <c r="V16" s="6">
        <v>62.0</v>
      </c>
      <c r="W16" s="6">
        <v>10.0</v>
      </c>
      <c r="X16" s="6" t="s">
        <v>184</v>
      </c>
      <c r="Y16" s="6">
        <v>12.0</v>
      </c>
    </row>
    <row r="17">
      <c r="A17" s="7">
        <v>45964.0</v>
      </c>
      <c r="B17" s="6">
        <v>4.512345678005E12</v>
      </c>
      <c r="C17" s="6" t="s">
        <v>116</v>
      </c>
      <c r="D17" s="6" t="s">
        <v>117</v>
      </c>
      <c r="E17" s="6" t="s">
        <v>118</v>
      </c>
      <c r="F17" s="6">
        <v>41.0</v>
      </c>
      <c r="G17" s="6">
        <v>0.0</v>
      </c>
      <c r="H17" s="6">
        <v>0.0</v>
      </c>
      <c r="I17" s="6">
        <v>0.0</v>
      </c>
      <c r="J17" s="6">
        <v>4500.0</v>
      </c>
      <c r="K17" s="6">
        <v>0.0</v>
      </c>
      <c r="L17" s="6">
        <v>0.0</v>
      </c>
      <c r="M17" s="6">
        <v>0.0</v>
      </c>
      <c r="N17" s="6">
        <v>0.0</v>
      </c>
      <c r="O17" s="6">
        <v>500.0</v>
      </c>
      <c r="P17" s="6">
        <v>0.0</v>
      </c>
      <c r="Q17" s="6">
        <v>0.0</v>
      </c>
      <c r="R17" s="6">
        <v>0.0</v>
      </c>
      <c r="S17" s="6">
        <v>2000.0</v>
      </c>
      <c r="T17" s="6">
        <v>50.0</v>
      </c>
      <c r="U17" s="6">
        <v>4.4</v>
      </c>
      <c r="V17" s="6">
        <v>7.0</v>
      </c>
      <c r="W17" s="6">
        <v>35.0</v>
      </c>
      <c r="X17" s="6" t="s">
        <v>185</v>
      </c>
      <c r="Y17" s="6">
        <v>34.0</v>
      </c>
    </row>
    <row r="18">
      <c r="A18" s="7">
        <v>45965.0</v>
      </c>
      <c r="B18" s="6">
        <v>4.512345678001E12</v>
      </c>
      <c r="C18" s="6" t="s">
        <v>178</v>
      </c>
      <c r="D18" s="6" t="s">
        <v>179</v>
      </c>
      <c r="E18" s="6" t="s">
        <v>180</v>
      </c>
      <c r="F18" s="6">
        <v>1741.0</v>
      </c>
      <c r="G18" s="6">
        <v>56.0</v>
      </c>
      <c r="H18" s="6">
        <v>63.0</v>
      </c>
      <c r="I18" s="6">
        <v>315000.0</v>
      </c>
      <c r="J18" s="6">
        <v>5000.0</v>
      </c>
      <c r="K18" s="6">
        <v>0.0</v>
      </c>
      <c r="L18" s="6">
        <v>3150.0</v>
      </c>
      <c r="M18" s="6">
        <v>5600.0</v>
      </c>
      <c r="N18" s="6">
        <v>25200.0</v>
      </c>
      <c r="O18" s="6">
        <v>31500.0</v>
      </c>
      <c r="P18" s="6">
        <v>189000.0</v>
      </c>
      <c r="Q18" s="6">
        <v>28000.0</v>
      </c>
      <c r="R18" s="6">
        <v>0.0</v>
      </c>
      <c r="S18" s="6">
        <v>2500.0</v>
      </c>
      <c r="T18" s="6">
        <v>283.0</v>
      </c>
      <c r="U18" s="6">
        <v>3.8</v>
      </c>
      <c r="V18" s="6">
        <v>153.0</v>
      </c>
      <c r="W18" s="6">
        <v>2.0</v>
      </c>
      <c r="X18" s="6" t="s">
        <v>181</v>
      </c>
      <c r="Y18" s="6">
        <v>3.0</v>
      </c>
    </row>
    <row r="19">
      <c r="A19" s="7">
        <v>45965.0</v>
      </c>
      <c r="B19" s="6">
        <v>4.512345678002E12</v>
      </c>
      <c r="C19" s="6" t="s">
        <v>106</v>
      </c>
      <c r="D19" s="6" t="s">
        <v>107</v>
      </c>
      <c r="E19" s="6" t="s">
        <v>108</v>
      </c>
      <c r="F19" s="6">
        <v>856.0</v>
      </c>
      <c r="G19" s="6">
        <v>22.0</v>
      </c>
      <c r="H19" s="6">
        <v>22.0</v>
      </c>
      <c r="I19" s="6">
        <v>66000.0</v>
      </c>
      <c r="J19" s="6">
        <v>3000.0</v>
      </c>
      <c r="K19" s="6">
        <v>0.0</v>
      </c>
      <c r="L19" s="6">
        <v>660.0</v>
      </c>
      <c r="M19" s="6">
        <v>2200.0</v>
      </c>
      <c r="N19" s="6">
        <v>5280.0</v>
      </c>
      <c r="O19" s="6">
        <v>6600.0</v>
      </c>
      <c r="P19" s="6">
        <v>39600.0</v>
      </c>
      <c r="Q19" s="6">
        <v>11000.0</v>
      </c>
      <c r="R19" s="6">
        <v>0.0</v>
      </c>
      <c r="S19" s="6">
        <v>900.0</v>
      </c>
      <c r="T19" s="6">
        <v>202.0</v>
      </c>
      <c r="U19" s="6">
        <v>4.3</v>
      </c>
      <c r="V19" s="6">
        <v>83.0</v>
      </c>
      <c r="W19" s="6">
        <v>10.0</v>
      </c>
      <c r="X19" s="6" t="s">
        <v>182</v>
      </c>
      <c r="Y19" s="6">
        <v>10.0</v>
      </c>
    </row>
    <row r="20">
      <c r="A20" s="7">
        <v>45965.0</v>
      </c>
      <c r="B20" s="6">
        <v>4.512345678003E12</v>
      </c>
      <c r="C20" s="6" t="s">
        <v>110</v>
      </c>
      <c r="D20" s="6" t="s">
        <v>111</v>
      </c>
      <c r="E20" s="6" t="s">
        <v>112</v>
      </c>
      <c r="F20" s="6">
        <v>2506.0</v>
      </c>
      <c r="G20" s="6">
        <v>121.0</v>
      </c>
      <c r="H20" s="6">
        <v>127.0</v>
      </c>
      <c r="I20" s="6">
        <v>381000.0</v>
      </c>
      <c r="J20" s="6">
        <v>3000.0</v>
      </c>
      <c r="K20" s="6">
        <v>0.0</v>
      </c>
      <c r="L20" s="6">
        <v>3810.0</v>
      </c>
      <c r="M20" s="6">
        <v>0.0</v>
      </c>
      <c r="N20" s="6">
        <v>30480.0</v>
      </c>
      <c r="O20" s="6">
        <v>19050.0</v>
      </c>
      <c r="P20" s="6">
        <v>228600.0</v>
      </c>
      <c r="Q20" s="6">
        <v>60500.0</v>
      </c>
      <c r="R20" s="6">
        <v>0.0</v>
      </c>
      <c r="S20" s="6">
        <v>1800.0</v>
      </c>
      <c r="T20" s="6">
        <v>297.0</v>
      </c>
      <c r="U20" s="6">
        <v>4.3</v>
      </c>
      <c r="V20" s="6">
        <v>303.0</v>
      </c>
      <c r="W20" s="6">
        <v>1.0</v>
      </c>
      <c r="X20" s="6" t="s">
        <v>183</v>
      </c>
      <c r="Y20" s="6">
        <v>3.0</v>
      </c>
    </row>
    <row r="21">
      <c r="A21" s="7">
        <v>45965.0</v>
      </c>
      <c r="B21" s="6">
        <v>4.512345678004E12</v>
      </c>
      <c r="C21" s="6" t="s">
        <v>113</v>
      </c>
      <c r="D21" s="6" t="s">
        <v>114</v>
      </c>
      <c r="E21" s="6" t="s">
        <v>115</v>
      </c>
      <c r="F21" s="6">
        <v>591.0</v>
      </c>
      <c r="G21" s="6">
        <v>16.0</v>
      </c>
      <c r="H21" s="6">
        <v>17.0</v>
      </c>
      <c r="I21" s="6">
        <v>51000.0</v>
      </c>
      <c r="J21" s="6">
        <v>3000.0</v>
      </c>
      <c r="K21" s="6">
        <v>0.0</v>
      </c>
      <c r="L21" s="6">
        <v>510.0</v>
      </c>
      <c r="M21" s="6">
        <v>0.0</v>
      </c>
      <c r="N21" s="6">
        <v>4080.0</v>
      </c>
      <c r="O21" s="6">
        <v>7650.0</v>
      </c>
      <c r="P21" s="6">
        <v>30600.0</v>
      </c>
      <c r="Q21" s="6">
        <v>8000.0</v>
      </c>
      <c r="R21" s="6">
        <v>0.0</v>
      </c>
      <c r="S21" s="6">
        <v>600.0</v>
      </c>
      <c r="T21" s="6">
        <v>140.0</v>
      </c>
      <c r="U21" s="6">
        <v>4.7</v>
      </c>
      <c r="V21" s="6">
        <v>63.0</v>
      </c>
      <c r="W21" s="6">
        <v>14.0</v>
      </c>
      <c r="X21" s="6" t="s">
        <v>184</v>
      </c>
      <c r="Y21" s="6">
        <v>14.0</v>
      </c>
    </row>
    <row r="22">
      <c r="A22" s="7">
        <v>45965.0</v>
      </c>
      <c r="B22" s="6">
        <v>4.512345678005E12</v>
      </c>
      <c r="C22" s="6" t="s">
        <v>116</v>
      </c>
      <c r="D22" s="6" t="s">
        <v>117</v>
      </c>
      <c r="E22" s="6" t="s">
        <v>118</v>
      </c>
      <c r="F22" s="6">
        <v>57.0</v>
      </c>
      <c r="G22" s="6">
        <v>0.0</v>
      </c>
      <c r="H22" s="6">
        <v>0.0</v>
      </c>
      <c r="I22" s="6">
        <v>0.0</v>
      </c>
      <c r="J22" s="6">
        <v>4500.0</v>
      </c>
      <c r="K22" s="6">
        <v>0.0</v>
      </c>
      <c r="L22" s="6">
        <v>0.0</v>
      </c>
      <c r="M22" s="6">
        <v>0.0</v>
      </c>
      <c r="N22" s="6">
        <v>0.0</v>
      </c>
      <c r="O22" s="6">
        <v>500.0</v>
      </c>
      <c r="P22" s="6">
        <v>0.0</v>
      </c>
      <c r="Q22" s="6">
        <v>0.0</v>
      </c>
      <c r="R22" s="6">
        <v>0.0</v>
      </c>
      <c r="S22" s="6">
        <v>2000.0</v>
      </c>
      <c r="T22" s="6">
        <v>50.0</v>
      </c>
      <c r="U22" s="6">
        <v>3.8</v>
      </c>
      <c r="V22" s="6">
        <v>8.0</v>
      </c>
      <c r="W22" s="6">
        <v>34.0</v>
      </c>
      <c r="X22" s="6" t="s">
        <v>185</v>
      </c>
      <c r="Y22" s="6">
        <v>33.0</v>
      </c>
    </row>
    <row r="23">
      <c r="A23" s="7">
        <v>45966.0</v>
      </c>
      <c r="B23" s="6">
        <v>4.512345678001E12</v>
      </c>
      <c r="C23" s="6" t="s">
        <v>178</v>
      </c>
      <c r="D23" s="6" t="s">
        <v>179</v>
      </c>
      <c r="E23" s="6" t="s">
        <v>180</v>
      </c>
      <c r="F23" s="6">
        <v>1214.0</v>
      </c>
      <c r="G23" s="6">
        <v>38.0</v>
      </c>
      <c r="H23" s="6">
        <v>38.0</v>
      </c>
      <c r="I23" s="6">
        <v>190000.0</v>
      </c>
      <c r="J23" s="6">
        <v>5000.0</v>
      </c>
      <c r="K23" s="6">
        <v>0.0</v>
      </c>
      <c r="L23" s="6">
        <v>1900.0</v>
      </c>
      <c r="M23" s="6">
        <v>0.0</v>
      </c>
      <c r="N23" s="6">
        <v>15200.0</v>
      </c>
      <c r="O23" s="6">
        <v>19000.0</v>
      </c>
      <c r="P23" s="6">
        <v>114000.0</v>
      </c>
      <c r="Q23" s="6">
        <v>19000.0</v>
      </c>
      <c r="R23" s="6">
        <v>0.0</v>
      </c>
      <c r="S23" s="6">
        <v>2500.0</v>
      </c>
      <c r="T23" s="6">
        <v>245.0</v>
      </c>
      <c r="U23" s="6">
        <v>3.5</v>
      </c>
      <c r="V23" s="6">
        <v>154.0</v>
      </c>
      <c r="W23" s="6">
        <v>1.0</v>
      </c>
      <c r="X23" s="6" t="s">
        <v>181</v>
      </c>
      <c r="Y23" s="6">
        <v>1.0</v>
      </c>
    </row>
    <row r="24">
      <c r="A24" s="7">
        <v>45966.0</v>
      </c>
      <c r="B24" s="6">
        <v>4.512345678002E12</v>
      </c>
      <c r="C24" s="6" t="s">
        <v>106</v>
      </c>
      <c r="D24" s="6" t="s">
        <v>107</v>
      </c>
      <c r="E24" s="6" t="s">
        <v>108</v>
      </c>
      <c r="F24" s="6">
        <v>849.0</v>
      </c>
      <c r="G24" s="6">
        <v>17.0</v>
      </c>
      <c r="H24" s="6">
        <v>20.0</v>
      </c>
      <c r="I24" s="6">
        <v>60000.0</v>
      </c>
      <c r="J24" s="6">
        <v>3000.0</v>
      </c>
      <c r="K24" s="6">
        <v>0.0</v>
      </c>
      <c r="L24" s="6">
        <v>600.0</v>
      </c>
      <c r="M24" s="6">
        <v>0.0</v>
      </c>
      <c r="N24" s="6">
        <v>4800.0</v>
      </c>
      <c r="O24" s="6">
        <v>6000.0</v>
      </c>
      <c r="P24" s="6">
        <v>36000.0</v>
      </c>
      <c r="Q24" s="6">
        <v>8500.0</v>
      </c>
      <c r="R24" s="6">
        <v>0.0</v>
      </c>
      <c r="S24" s="6">
        <v>900.0</v>
      </c>
      <c r="T24" s="6">
        <v>182.0</v>
      </c>
      <c r="U24" s="6">
        <v>3.7</v>
      </c>
      <c r="V24" s="6">
        <v>84.0</v>
      </c>
      <c r="W24" s="6">
        <v>10.0</v>
      </c>
      <c r="X24" s="6" t="s">
        <v>182</v>
      </c>
      <c r="Y24" s="6">
        <v>11.0</v>
      </c>
    </row>
    <row r="25">
      <c r="A25" s="7">
        <v>45966.0</v>
      </c>
      <c r="B25" s="6">
        <v>4.512345678003E12</v>
      </c>
      <c r="C25" s="6" t="s">
        <v>110</v>
      </c>
      <c r="D25" s="6" t="s">
        <v>111</v>
      </c>
      <c r="E25" s="6" t="s">
        <v>112</v>
      </c>
      <c r="F25" s="6">
        <v>2923.0</v>
      </c>
      <c r="G25" s="6">
        <v>150.0</v>
      </c>
      <c r="H25" s="6">
        <v>164.0</v>
      </c>
      <c r="I25" s="6">
        <v>492000.0</v>
      </c>
      <c r="J25" s="6">
        <v>3000.0</v>
      </c>
      <c r="K25" s="6">
        <v>0.0</v>
      </c>
      <c r="L25" s="6">
        <v>4920.0</v>
      </c>
      <c r="M25" s="6">
        <v>0.0</v>
      </c>
      <c r="N25" s="6">
        <v>39360.0</v>
      </c>
      <c r="O25" s="6">
        <v>24600.0</v>
      </c>
      <c r="P25" s="6">
        <v>295200.0</v>
      </c>
      <c r="Q25" s="6">
        <v>75000.0</v>
      </c>
      <c r="R25" s="6">
        <v>0.0</v>
      </c>
      <c r="S25" s="6">
        <v>1800.0</v>
      </c>
      <c r="T25" s="6">
        <v>133.0</v>
      </c>
      <c r="U25" s="6">
        <v>4.3</v>
      </c>
      <c r="V25" s="6">
        <v>304.0</v>
      </c>
      <c r="W25" s="6">
        <v>1.0</v>
      </c>
      <c r="X25" s="6" t="s">
        <v>183</v>
      </c>
      <c r="Y25" s="6">
        <v>1.0</v>
      </c>
    </row>
    <row r="26">
      <c r="A26" s="7">
        <v>45966.0</v>
      </c>
      <c r="B26" s="6">
        <v>4.512345678004E12</v>
      </c>
      <c r="C26" s="6" t="s">
        <v>113</v>
      </c>
      <c r="D26" s="6" t="s">
        <v>114</v>
      </c>
      <c r="E26" s="6" t="s">
        <v>115</v>
      </c>
      <c r="F26" s="6">
        <v>559.0</v>
      </c>
      <c r="G26" s="6">
        <v>7.0</v>
      </c>
      <c r="H26" s="6">
        <v>7.0</v>
      </c>
      <c r="I26" s="6">
        <v>21000.0</v>
      </c>
      <c r="J26" s="6">
        <v>3000.0</v>
      </c>
      <c r="K26" s="6">
        <v>0.0</v>
      </c>
      <c r="L26" s="6">
        <v>210.0</v>
      </c>
      <c r="M26" s="6">
        <v>700.0</v>
      </c>
      <c r="N26" s="6">
        <v>1680.0</v>
      </c>
      <c r="O26" s="6">
        <v>3150.0</v>
      </c>
      <c r="P26" s="6">
        <v>12600.0</v>
      </c>
      <c r="Q26" s="6">
        <v>3500.0</v>
      </c>
      <c r="R26" s="6">
        <v>0.0</v>
      </c>
      <c r="S26" s="6">
        <v>600.0</v>
      </c>
      <c r="T26" s="6">
        <v>133.0</v>
      </c>
      <c r="U26" s="6">
        <v>3.7</v>
      </c>
      <c r="V26" s="6">
        <v>64.0</v>
      </c>
      <c r="W26" s="6">
        <v>13.0</v>
      </c>
      <c r="X26" s="6" t="s">
        <v>184</v>
      </c>
      <c r="Y26" s="6">
        <v>19.0</v>
      </c>
    </row>
    <row r="27">
      <c r="A27" s="7">
        <v>45966.0</v>
      </c>
      <c r="B27" s="6">
        <v>4.512345678005E12</v>
      </c>
      <c r="C27" s="6" t="s">
        <v>116</v>
      </c>
      <c r="D27" s="6" t="s">
        <v>117</v>
      </c>
      <c r="E27" s="6" t="s">
        <v>118</v>
      </c>
      <c r="F27" s="6">
        <v>48.0</v>
      </c>
      <c r="G27" s="6">
        <v>0.0</v>
      </c>
      <c r="H27" s="6">
        <v>0.0</v>
      </c>
      <c r="I27" s="6">
        <v>0.0</v>
      </c>
      <c r="J27" s="6">
        <v>4500.0</v>
      </c>
      <c r="K27" s="6">
        <v>0.0</v>
      </c>
      <c r="L27" s="6">
        <v>0.0</v>
      </c>
      <c r="M27" s="6">
        <v>0.0</v>
      </c>
      <c r="N27" s="6">
        <v>0.0</v>
      </c>
      <c r="O27" s="6">
        <v>500.0</v>
      </c>
      <c r="P27" s="6">
        <v>0.0</v>
      </c>
      <c r="Q27" s="6">
        <v>0.0</v>
      </c>
      <c r="R27" s="6">
        <v>0.0</v>
      </c>
      <c r="S27" s="6">
        <v>2000.0</v>
      </c>
      <c r="T27" s="6">
        <v>50.0</v>
      </c>
      <c r="U27" s="6">
        <v>4.5</v>
      </c>
      <c r="V27" s="6">
        <v>9.0</v>
      </c>
      <c r="W27" s="6">
        <v>37.0</v>
      </c>
      <c r="X27" s="6" t="s">
        <v>185</v>
      </c>
      <c r="Y27" s="6">
        <v>34.0</v>
      </c>
    </row>
    <row r="28">
      <c r="A28" s="7">
        <v>45967.0</v>
      </c>
      <c r="B28" s="6">
        <v>4.512345678001E12</v>
      </c>
      <c r="C28" s="6" t="s">
        <v>178</v>
      </c>
      <c r="D28" s="6" t="s">
        <v>179</v>
      </c>
      <c r="E28" s="6" t="s">
        <v>180</v>
      </c>
      <c r="F28" s="6">
        <v>1748.0</v>
      </c>
      <c r="G28" s="6">
        <v>44.0</v>
      </c>
      <c r="H28" s="6">
        <v>50.0</v>
      </c>
      <c r="I28" s="6">
        <v>250000.0</v>
      </c>
      <c r="J28" s="6">
        <v>5000.0</v>
      </c>
      <c r="K28" s="6">
        <v>0.0</v>
      </c>
      <c r="L28" s="6">
        <v>2500.0</v>
      </c>
      <c r="M28" s="6">
        <v>0.0</v>
      </c>
      <c r="N28" s="6">
        <v>20000.0</v>
      </c>
      <c r="O28" s="6">
        <v>25000.0</v>
      </c>
      <c r="P28" s="6">
        <v>150000.0</v>
      </c>
      <c r="Q28" s="6">
        <v>22000.0</v>
      </c>
      <c r="R28" s="6">
        <v>0.0</v>
      </c>
      <c r="S28" s="6">
        <v>2500.0</v>
      </c>
      <c r="T28" s="6">
        <v>195.0</v>
      </c>
      <c r="U28" s="6">
        <v>3.9</v>
      </c>
      <c r="V28" s="6">
        <v>155.0</v>
      </c>
      <c r="W28" s="6">
        <v>8.0</v>
      </c>
      <c r="X28" s="6" t="s">
        <v>181</v>
      </c>
      <c r="Y28" s="6">
        <v>1.0</v>
      </c>
    </row>
    <row r="29">
      <c r="A29" s="7">
        <v>45967.0</v>
      </c>
      <c r="B29" s="6">
        <v>4.512345678002E12</v>
      </c>
      <c r="C29" s="6" t="s">
        <v>106</v>
      </c>
      <c r="D29" s="6" t="s">
        <v>107</v>
      </c>
      <c r="E29" s="6" t="s">
        <v>108</v>
      </c>
      <c r="F29" s="6">
        <v>923.0</v>
      </c>
      <c r="G29" s="6">
        <v>19.0</v>
      </c>
      <c r="H29" s="6">
        <v>20.0</v>
      </c>
      <c r="I29" s="6">
        <v>60000.0</v>
      </c>
      <c r="J29" s="6">
        <v>3000.0</v>
      </c>
      <c r="K29" s="6">
        <v>0.0</v>
      </c>
      <c r="L29" s="6">
        <v>600.0</v>
      </c>
      <c r="M29" s="6">
        <v>0.0</v>
      </c>
      <c r="N29" s="6">
        <v>4800.0</v>
      </c>
      <c r="O29" s="6">
        <v>6000.0</v>
      </c>
      <c r="P29" s="6">
        <v>36000.0</v>
      </c>
      <c r="Q29" s="6">
        <v>9500.0</v>
      </c>
      <c r="R29" s="6">
        <v>0.0</v>
      </c>
      <c r="S29" s="6">
        <v>900.0</v>
      </c>
      <c r="T29" s="6">
        <v>162.0</v>
      </c>
      <c r="U29" s="6">
        <v>3.8</v>
      </c>
      <c r="V29" s="6">
        <v>85.0</v>
      </c>
      <c r="W29" s="6">
        <v>8.0</v>
      </c>
      <c r="X29" s="6" t="s">
        <v>182</v>
      </c>
      <c r="Y29" s="6">
        <v>11.0</v>
      </c>
    </row>
    <row r="30">
      <c r="A30" s="7">
        <v>45967.0</v>
      </c>
      <c r="B30" s="6">
        <v>4.512345678003E12</v>
      </c>
      <c r="C30" s="6" t="s">
        <v>110</v>
      </c>
      <c r="D30" s="6" t="s">
        <v>111</v>
      </c>
      <c r="E30" s="6" t="s">
        <v>112</v>
      </c>
      <c r="F30" s="6">
        <v>3017.0</v>
      </c>
      <c r="G30" s="6">
        <v>160.0</v>
      </c>
      <c r="H30" s="6">
        <v>175.0</v>
      </c>
      <c r="I30" s="6">
        <v>525000.0</v>
      </c>
      <c r="J30" s="6">
        <v>3000.0</v>
      </c>
      <c r="K30" s="6">
        <v>0.0</v>
      </c>
      <c r="L30" s="6">
        <v>5250.0</v>
      </c>
      <c r="M30" s="6">
        <v>16000.0</v>
      </c>
      <c r="N30" s="6">
        <v>42000.0</v>
      </c>
      <c r="O30" s="6">
        <v>26250.0</v>
      </c>
      <c r="P30" s="6">
        <v>315000.0</v>
      </c>
      <c r="Q30" s="6">
        <v>80000.0</v>
      </c>
      <c r="R30" s="6">
        <v>0.0</v>
      </c>
      <c r="S30" s="6">
        <v>1800.0</v>
      </c>
      <c r="T30" s="6">
        <v>458.0</v>
      </c>
      <c r="U30" s="6">
        <v>4.5</v>
      </c>
      <c r="V30" s="6">
        <v>305.0</v>
      </c>
      <c r="W30" s="6">
        <v>5.0</v>
      </c>
      <c r="X30" s="6" t="s">
        <v>183</v>
      </c>
      <c r="Y30" s="6">
        <v>1.0</v>
      </c>
    </row>
    <row r="31">
      <c r="A31" s="7">
        <v>45967.0</v>
      </c>
      <c r="B31" s="6">
        <v>4.512345678004E12</v>
      </c>
      <c r="C31" s="6" t="s">
        <v>113</v>
      </c>
      <c r="D31" s="6" t="s">
        <v>114</v>
      </c>
      <c r="E31" s="6" t="s">
        <v>115</v>
      </c>
      <c r="F31" s="6">
        <v>599.0</v>
      </c>
      <c r="G31" s="6">
        <v>10.0</v>
      </c>
      <c r="H31" s="6">
        <v>11.0</v>
      </c>
      <c r="I31" s="6">
        <v>33000.0</v>
      </c>
      <c r="J31" s="6">
        <v>3000.0</v>
      </c>
      <c r="K31" s="6">
        <v>0.0</v>
      </c>
      <c r="L31" s="6">
        <v>330.0</v>
      </c>
      <c r="M31" s="6">
        <v>0.0</v>
      </c>
      <c r="N31" s="6">
        <v>2640.0</v>
      </c>
      <c r="O31" s="6">
        <v>4950.0</v>
      </c>
      <c r="P31" s="6">
        <v>19800.0</v>
      </c>
      <c r="Q31" s="6">
        <v>5000.0</v>
      </c>
      <c r="R31" s="6">
        <v>0.0</v>
      </c>
      <c r="S31" s="6">
        <v>600.0</v>
      </c>
      <c r="T31" s="6">
        <v>122.0</v>
      </c>
      <c r="U31" s="6">
        <v>5.0</v>
      </c>
      <c r="V31" s="6">
        <v>65.0</v>
      </c>
      <c r="W31" s="6">
        <v>13.0</v>
      </c>
      <c r="X31" s="6" t="s">
        <v>184</v>
      </c>
      <c r="Y31" s="6">
        <v>15.0</v>
      </c>
    </row>
    <row r="32">
      <c r="A32" s="7">
        <v>45967.0</v>
      </c>
      <c r="B32" s="6">
        <v>4.512345678005E12</v>
      </c>
      <c r="C32" s="6" t="s">
        <v>116</v>
      </c>
      <c r="D32" s="6" t="s">
        <v>117</v>
      </c>
      <c r="E32" s="6" t="s">
        <v>118</v>
      </c>
      <c r="F32" s="6">
        <v>57.0</v>
      </c>
      <c r="G32" s="6">
        <v>0.0</v>
      </c>
      <c r="H32" s="6">
        <v>0.0</v>
      </c>
      <c r="I32" s="6">
        <v>0.0</v>
      </c>
      <c r="J32" s="6">
        <v>4500.0</v>
      </c>
      <c r="K32" s="6">
        <v>0.0</v>
      </c>
      <c r="L32" s="6">
        <v>0.0</v>
      </c>
      <c r="M32" s="6">
        <v>0.0</v>
      </c>
      <c r="N32" s="6">
        <v>0.0</v>
      </c>
      <c r="O32" s="6">
        <v>500.0</v>
      </c>
      <c r="P32" s="6">
        <v>0.0</v>
      </c>
      <c r="Q32" s="6">
        <v>0.0</v>
      </c>
      <c r="R32" s="6">
        <v>0.0</v>
      </c>
      <c r="S32" s="6">
        <v>2000.0</v>
      </c>
      <c r="T32" s="6">
        <v>50.0</v>
      </c>
      <c r="U32" s="6">
        <v>3.5</v>
      </c>
      <c r="V32" s="6">
        <v>10.0</v>
      </c>
      <c r="W32" s="6">
        <v>33.0</v>
      </c>
      <c r="X32" s="6" t="s">
        <v>185</v>
      </c>
      <c r="Y32" s="6">
        <v>37.0</v>
      </c>
    </row>
    <row r="33">
      <c r="A33" s="7">
        <v>45968.0</v>
      </c>
      <c r="B33" s="6">
        <v>4.512345678001E12</v>
      </c>
      <c r="C33" s="6" t="s">
        <v>178</v>
      </c>
      <c r="D33" s="6" t="s">
        <v>179</v>
      </c>
      <c r="E33" s="6" t="s">
        <v>180</v>
      </c>
      <c r="F33" s="6">
        <v>1238.0</v>
      </c>
      <c r="G33" s="6">
        <v>43.0</v>
      </c>
      <c r="H33" s="6">
        <v>48.0</v>
      </c>
      <c r="I33" s="6">
        <v>240000.0</v>
      </c>
      <c r="J33" s="6">
        <v>5000.0</v>
      </c>
      <c r="K33" s="6">
        <v>0.0</v>
      </c>
      <c r="L33" s="6">
        <v>2400.0</v>
      </c>
      <c r="M33" s="6">
        <v>0.0</v>
      </c>
      <c r="N33" s="6">
        <v>19200.0</v>
      </c>
      <c r="O33" s="6">
        <v>24000.0</v>
      </c>
      <c r="P33" s="6">
        <v>144000.0</v>
      </c>
      <c r="Q33" s="6">
        <v>21500.0</v>
      </c>
      <c r="R33" s="6">
        <v>0.0</v>
      </c>
      <c r="S33" s="6">
        <v>2500.0</v>
      </c>
      <c r="T33" s="6">
        <v>147.0</v>
      </c>
      <c r="U33" s="6">
        <v>4.4</v>
      </c>
      <c r="V33" s="6">
        <v>156.0</v>
      </c>
      <c r="W33" s="6">
        <v>4.0</v>
      </c>
      <c r="X33" s="6" t="s">
        <v>181</v>
      </c>
      <c r="Y33" s="6">
        <v>6.0</v>
      </c>
    </row>
    <row r="34">
      <c r="A34" s="7">
        <v>45968.0</v>
      </c>
      <c r="B34" s="6">
        <v>4.512345678002E12</v>
      </c>
      <c r="C34" s="6" t="s">
        <v>106</v>
      </c>
      <c r="D34" s="6" t="s">
        <v>107</v>
      </c>
      <c r="E34" s="6" t="s">
        <v>108</v>
      </c>
      <c r="F34" s="6">
        <v>822.0</v>
      </c>
      <c r="G34" s="6">
        <v>22.0</v>
      </c>
      <c r="H34" s="6">
        <v>24.0</v>
      </c>
      <c r="I34" s="6">
        <v>72000.0</v>
      </c>
      <c r="J34" s="6">
        <v>3000.0</v>
      </c>
      <c r="K34" s="6">
        <v>0.0</v>
      </c>
      <c r="L34" s="6">
        <v>720.0</v>
      </c>
      <c r="M34" s="6">
        <v>0.0</v>
      </c>
      <c r="N34" s="6">
        <v>5760.0</v>
      </c>
      <c r="O34" s="6">
        <v>7200.0</v>
      </c>
      <c r="P34" s="6">
        <v>43200.0</v>
      </c>
      <c r="Q34" s="6">
        <v>11000.0</v>
      </c>
      <c r="R34" s="6">
        <v>0.0</v>
      </c>
      <c r="S34" s="6">
        <v>900.0</v>
      </c>
      <c r="T34" s="6">
        <v>138.0</v>
      </c>
      <c r="U34" s="6">
        <v>4.7</v>
      </c>
      <c r="V34" s="6">
        <v>86.0</v>
      </c>
      <c r="W34" s="6">
        <v>12.0</v>
      </c>
      <c r="X34" s="6" t="s">
        <v>182</v>
      </c>
      <c r="Y34" s="6">
        <v>11.0</v>
      </c>
    </row>
    <row r="35">
      <c r="A35" s="7">
        <v>45968.0</v>
      </c>
      <c r="B35" s="6">
        <v>4.512345678003E12</v>
      </c>
      <c r="C35" s="6" t="s">
        <v>110</v>
      </c>
      <c r="D35" s="6" t="s">
        <v>111</v>
      </c>
      <c r="E35" s="6" t="s">
        <v>112</v>
      </c>
      <c r="F35" s="6">
        <v>3575.0</v>
      </c>
      <c r="G35" s="6">
        <v>189.0</v>
      </c>
      <c r="H35" s="6">
        <v>206.0</v>
      </c>
      <c r="I35" s="6">
        <v>618000.0</v>
      </c>
      <c r="J35" s="6">
        <v>3000.0</v>
      </c>
      <c r="K35" s="6">
        <v>0.0</v>
      </c>
      <c r="L35" s="6">
        <v>6180.0</v>
      </c>
      <c r="M35" s="6">
        <v>0.0</v>
      </c>
      <c r="N35" s="6">
        <v>49440.0</v>
      </c>
      <c r="O35" s="6">
        <v>30900.0</v>
      </c>
      <c r="P35" s="6">
        <v>370800.0</v>
      </c>
      <c r="Q35" s="6">
        <v>94500.0</v>
      </c>
      <c r="R35" s="6">
        <v>0.0</v>
      </c>
      <c r="S35" s="6">
        <v>1800.0</v>
      </c>
      <c r="T35" s="6">
        <v>252.0</v>
      </c>
      <c r="U35" s="6">
        <v>4.8</v>
      </c>
      <c r="V35" s="6">
        <v>306.0</v>
      </c>
      <c r="W35" s="6">
        <v>2.0</v>
      </c>
      <c r="X35" s="6" t="s">
        <v>183</v>
      </c>
      <c r="Y35" s="6">
        <v>4.0</v>
      </c>
    </row>
    <row r="36">
      <c r="A36" s="7">
        <v>45968.0</v>
      </c>
      <c r="B36" s="6">
        <v>4.512345678004E12</v>
      </c>
      <c r="C36" s="6" t="s">
        <v>113</v>
      </c>
      <c r="D36" s="6" t="s">
        <v>114</v>
      </c>
      <c r="E36" s="6" t="s">
        <v>115</v>
      </c>
      <c r="F36" s="6">
        <v>559.0</v>
      </c>
      <c r="G36" s="6">
        <v>11.0</v>
      </c>
      <c r="H36" s="6">
        <v>11.0</v>
      </c>
      <c r="I36" s="6">
        <v>33000.0</v>
      </c>
      <c r="J36" s="6">
        <v>3000.0</v>
      </c>
      <c r="K36" s="6">
        <v>0.0</v>
      </c>
      <c r="L36" s="6">
        <v>330.0</v>
      </c>
      <c r="M36" s="6">
        <v>0.0</v>
      </c>
      <c r="N36" s="6">
        <v>2640.0</v>
      </c>
      <c r="O36" s="6">
        <v>4950.0</v>
      </c>
      <c r="P36" s="6">
        <v>19800.0</v>
      </c>
      <c r="Q36" s="6">
        <v>5500.0</v>
      </c>
      <c r="R36" s="6">
        <v>0.0</v>
      </c>
      <c r="S36" s="6">
        <v>600.0</v>
      </c>
      <c r="T36" s="6">
        <v>111.0</v>
      </c>
      <c r="U36" s="6">
        <v>4.2</v>
      </c>
      <c r="V36" s="6">
        <v>66.0</v>
      </c>
      <c r="W36" s="6">
        <v>9.0</v>
      </c>
      <c r="X36" s="6" t="s">
        <v>184</v>
      </c>
      <c r="Y36" s="6">
        <v>19.0</v>
      </c>
    </row>
    <row r="37">
      <c r="A37" s="7">
        <v>45968.0</v>
      </c>
      <c r="B37" s="6">
        <v>4.512345678005E12</v>
      </c>
      <c r="C37" s="6" t="s">
        <v>116</v>
      </c>
      <c r="D37" s="6" t="s">
        <v>117</v>
      </c>
      <c r="E37" s="6" t="s">
        <v>118</v>
      </c>
      <c r="F37" s="6">
        <v>54.0</v>
      </c>
      <c r="G37" s="6">
        <v>0.0</v>
      </c>
      <c r="H37" s="6">
        <v>0.0</v>
      </c>
      <c r="I37" s="6">
        <v>0.0</v>
      </c>
      <c r="J37" s="6">
        <v>4500.0</v>
      </c>
      <c r="K37" s="6">
        <v>0.0</v>
      </c>
      <c r="L37" s="6">
        <v>0.0</v>
      </c>
      <c r="M37" s="6">
        <v>0.0</v>
      </c>
      <c r="N37" s="6">
        <v>0.0</v>
      </c>
      <c r="O37" s="6">
        <v>500.0</v>
      </c>
      <c r="P37" s="6">
        <v>0.0</v>
      </c>
      <c r="Q37" s="6">
        <v>0.0</v>
      </c>
      <c r="R37" s="6">
        <v>0.0</v>
      </c>
      <c r="S37" s="6">
        <v>2000.0</v>
      </c>
      <c r="T37" s="6">
        <v>50.0</v>
      </c>
      <c r="U37" s="6">
        <v>3.6</v>
      </c>
      <c r="V37" s="6">
        <v>11.0</v>
      </c>
      <c r="W37" s="6">
        <v>36.0</v>
      </c>
      <c r="X37" s="6" t="s">
        <v>185</v>
      </c>
      <c r="Y37" s="6">
        <v>37.0</v>
      </c>
    </row>
    <row r="38">
      <c r="A38" s="7">
        <v>45969.0</v>
      </c>
      <c r="B38" s="6">
        <v>4.512345678001E12</v>
      </c>
      <c r="C38" s="6" t="s">
        <v>178</v>
      </c>
      <c r="D38" s="6" t="s">
        <v>179</v>
      </c>
      <c r="E38" s="6" t="s">
        <v>180</v>
      </c>
      <c r="F38" s="6">
        <v>2093.0</v>
      </c>
      <c r="G38" s="6">
        <v>66.0</v>
      </c>
      <c r="H38" s="6">
        <v>71.0</v>
      </c>
      <c r="I38" s="6">
        <v>355000.0</v>
      </c>
      <c r="J38" s="6">
        <v>5000.0</v>
      </c>
      <c r="K38" s="6">
        <v>0.0</v>
      </c>
      <c r="L38" s="6">
        <v>3550.0</v>
      </c>
      <c r="M38" s="6">
        <v>6600.0</v>
      </c>
      <c r="N38" s="6">
        <v>28400.0</v>
      </c>
      <c r="O38" s="6">
        <v>35500.0</v>
      </c>
      <c r="P38" s="6">
        <v>213000.0</v>
      </c>
      <c r="Q38" s="6">
        <v>33000.0</v>
      </c>
      <c r="R38" s="6">
        <v>0.0</v>
      </c>
      <c r="S38" s="6">
        <v>2500.0</v>
      </c>
      <c r="T38" s="6">
        <v>76.0</v>
      </c>
      <c r="U38" s="6">
        <v>3.6</v>
      </c>
      <c r="V38" s="6">
        <v>157.0</v>
      </c>
      <c r="W38" s="6">
        <v>1.0</v>
      </c>
      <c r="X38" s="6" t="s">
        <v>181</v>
      </c>
      <c r="Y38" s="6">
        <v>3.0</v>
      </c>
    </row>
    <row r="39">
      <c r="A39" s="7">
        <v>45969.0</v>
      </c>
      <c r="B39" s="6">
        <v>4.512345678002E12</v>
      </c>
      <c r="C39" s="6" t="s">
        <v>106</v>
      </c>
      <c r="D39" s="6" t="s">
        <v>107</v>
      </c>
      <c r="E39" s="6" t="s">
        <v>108</v>
      </c>
      <c r="F39" s="6">
        <v>1034.0</v>
      </c>
      <c r="G39" s="6">
        <v>22.0</v>
      </c>
      <c r="H39" s="6">
        <v>26.0</v>
      </c>
      <c r="I39" s="6">
        <v>78000.0</v>
      </c>
      <c r="J39" s="6">
        <v>3000.0</v>
      </c>
      <c r="K39" s="6">
        <v>0.0</v>
      </c>
      <c r="L39" s="6">
        <v>780.0</v>
      </c>
      <c r="M39" s="6">
        <v>0.0</v>
      </c>
      <c r="N39" s="6">
        <v>6240.0</v>
      </c>
      <c r="O39" s="6">
        <v>7800.0</v>
      </c>
      <c r="P39" s="6">
        <v>46800.0</v>
      </c>
      <c r="Q39" s="6">
        <v>11000.0</v>
      </c>
      <c r="R39" s="6">
        <v>0.0</v>
      </c>
      <c r="S39" s="6">
        <v>900.0</v>
      </c>
      <c r="T39" s="6">
        <v>112.0</v>
      </c>
      <c r="U39" s="6">
        <v>4.1</v>
      </c>
      <c r="V39" s="6">
        <v>87.0</v>
      </c>
      <c r="W39" s="6">
        <v>10.0</v>
      </c>
      <c r="X39" s="6" t="s">
        <v>182</v>
      </c>
      <c r="Y39" s="6">
        <v>9.0</v>
      </c>
    </row>
    <row r="40">
      <c r="A40" s="7">
        <v>45969.0</v>
      </c>
      <c r="B40" s="6">
        <v>4.512345678003E12</v>
      </c>
      <c r="C40" s="6" t="s">
        <v>110</v>
      </c>
      <c r="D40" s="6" t="s">
        <v>111</v>
      </c>
      <c r="E40" s="6" t="s">
        <v>112</v>
      </c>
      <c r="F40" s="6">
        <v>3218.0</v>
      </c>
      <c r="G40" s="6">
        <v>157.0</v>
      </c>
      <c r="H40" s="6">
        <v>165.0</v>
      </c>
      <c r="I40" s="6">
        <v>495000.0</v>
      </c>
      <c r="J40" s="6">
        <v>3000.0</v>
      </c>
      <c r="K40" s="6">
        <v>0.0</v>
      </c>
      <c r="L40" s="6">
        <v>4950.0</v>
      </c>
      <c r="M40" s="6">
        <v>0.0</v>
      </c>
      <c r="N40" s="6">
        <v>39600.0</v>
      </c>
      <c r="O40" s="6">
        <v>24750.0</v>
      </c>
      <c r="P40" s="6">
        <v>297000.0</v>
      </c>
      <c r="Q40" s="6">
        <v>78500.0</v>
      </c>
      <c r="R40" s="6">
        <v>0.0</v>
      </c>
      <c r="S40" s="6">
        <v>1800.0</v>
      </c>
      <c r="T40" s="6">
        <v>87.0</v>
      </c>
      <c r="U40" s="6">
        <v>4.6</v>
      </c>
      <c r="V40" s="6">
        <v>307.0</v>
      </c>
      <c r="W40" s="6">
        <v>1.0</v>
      </c>
      <c r="X40" s="6" t="s">
        <v>183</v>
      </c>
      <c r="Y40" s="6">
        <v>4.0</v>
      </c>
    </row>
    <row r="41">
      <c r="A41" s="7">
        <v>45969.0</v>
      </c>
      <c r="B41" s="6">
        <v>4.512345678004E12</v>
      </c>
      <c r="C41" s="6" t="s">
        <v>113</v>
      </c>
      <c r="D41" s="6" t="s">
        <v>114</v>
      </c>
      <c r="E41" s="6" t="s">
        <v>115</v>
      </c>
      <c r="F41" s="6">
        <v>665.0</v>
      </c>
      <c r="G41" s="6">
        <v>13.0</v>
      </c>
      <c r="H41" s="6">
        <v>14.0</v>
      </c>
      <c r="I41" s="6">
        <v>42000.0</v>
      </c>
      <c r="J41" s="6">
        <v>3000.0</v>
      </c>
      <c r="K41" s="6">
        <v>0.0</v>
      </c>
      <c r="L41" s="6">
        <v>420.0</v>
      </c>
      <c r="M41" s="6">
        <v>0.0</v>
      </c>
      <c r="N41" s="6">
        <v>3360.0</v>
      </c>
      <c r="O41" s="6">
        <v>6300.0</v>
      </c>
      <c r="P41" s="6">
        <v>25200.0</v>
      </c>
      <c r="Q41" s="6">
        <v>6500.0</v>
      </c>
      <c r="R41" s="6">
        <v>0.0</v>
      </c>
      <c r="S41" s="6">
        <v>600.0</v>
      </c>
      <c r="T41" s="6">
        <v>97.0</v>
      </c>
      <c r="U41" s="6">
        <v>3.5</v>
      </c>
      <c r="V41" s="6">
        <v>67.0</v>
      </c>
      <c r="W41" s="6">
        <v>16.0</v>
      </c>
      <c r="X41" s="6" t="s">
        <v>184</v>
      </c>
      <c r="Y41" s="6">
        <v>18.0</v>
      </c>
    </row>
    <row r="42">
      <c r="A42" s="7">
        <v>45969.0</v>
      </c>
      <c r="B42" s="6">
        <v>4.512345678005E12</v>
      </c>
      <c r="C42" s="6" t="s">
        <v>116</v>
      </c>
      <c r="D42" s="6" t="s">
        <v>117</v>
      </c>
      <c r="E42" s="6" t="s">
        <v>118</v>
      </c>
      <c r="F42" s="6">
        <v>54.0</v>
      </c>
      <c r="G42" s="6">
        <v>1.0</v>
      </c>
      <c r="H42" s="6">
        <v>1.0</v>
      </c>
      <c r="I42" s="6">
        <v>4500.0</v>
      </c>
      <c r="J42" s="6">
        <v>4500.0</v>
      </c>
      <c r="K42" s="6">
        <v>0.0</v>
      </c>
      <c r="L42" s="6">
        <v>45.0</v>
      </c>
      <c r="M42" s="6">
        <v>0.0</v>
      </c>
      <c r="N42" s="6">
        <v>360.0</v>
      </c>
      <c r="O42" s="6">
        <v>0.0</v>
      </c>
      <c r="P42" s="6">
        <v>2700.0</v>
      </c>
      <c r="Q42" s="6">
        <v>500.0</v>
      </c>
      <c r="R42" s="6">
        <v>0.0</v>
      </c>
      <c r="S42" s="6">
        <v>2000.0</v>
      </c>
      <c r="T42" s="6">
        <v>49.0</v>
      </c>
      <c r="U42" s="6">
        <v>4.4</v>
      </c>
      <c r="V42" s="6">
        <v>12.0</v>
      </c>
      <c r="W42" s="6">
        <v>36.0</v>
      </c>
      <c r="X42" s="6" t="s">
        <v>185</v>
      </c>
      <c r="Y42" s="6">
        <v>34.0</v>
      </c>
    </row>
    <row r="43">
      <c r="A43" s="7">
        <v>45970.0</v>
      </c>
      <c r="B43" s="6">
        <v>4.512345678001E12</v>
      </c>
      <c r="C43" s="6" t="s">
        <v>178</v>
      </c>
      <c r="D43" s="6" t="s">
        <v>179</v>
      </c>
      <c r="E43" s="6" t="s">
        <v>180</v>
      </c>
      <c r="F43" s="6">
        <v>1858.0</v>
      </c>
      <c r="G43" s="6">
        <v>49.0</v>
      </c>
      <c r="H43" s="6">
        <v>49.0</v>
      </c>
      <c r="I43" s="6">
        <v>245000.0</v>
      </c>
      <c r="J43" s="6">
        <v>5000.0</v>
      </c>
      <c r="K43" s="6">
        <v>0.0</v>
      </c>
      <c r="L43" s="6">
        <v>2450.0</v>
      </c>
      <c r="M43" s="6">
        <v>0.0</v>
      </c>
      <c r="N43" s="6">
        <v>19600.0</v>
      </c>
      <c r="O43" s="6">
        <v>24500.0</v>
      </c>
      <c r="P43" s="6">
        <v>147000.0</v>
      </c>
      <c r="Q43" s="6">
        <v>24500.0</v>
      </c>
      <c r="R43" s="6">
        <v>0.0</v>
      </c>
      <c r="S43" s="6">
        <v>2500.0</v>
      </c>
      <c r="T43" s="6">
        <v>27.0</v>
      </c>
      <c r="U43" s="6">
        <v>4.1</v>
      </c>
      <c r="V43" s="6">
        <v>158.0</v>
      </c>
      <c r="W43" s="6">
        <v>2.0</v>
      </c>
      <c r="X43" s="6" t="s">
        <v>181</v>
      </c>
      <c r="Y43" s="6">
        <v>2.0</v>
      </c>
    </row>
    <row r="44">
      <c r="A44" s="7">
        <v>45970.0</v>
      </c>
      <c r="B44" s="6">
        <v>4.512345678002E12</v>
      </c>
      <c r="C44" s="6" t="s">
        <v>106</v>
      </c>
      <c r="D44" s="6" t="s">
        <v>107</v>
      </c>
      <c r="E44" s="6" t="s">
        <v>108</v>
      </c>
      <c r="F44" s="6">
        <v>790.0</v>
      </c>
      <c r="G44" s="6">
        <v>13.0</v>
      </c>
      <c r="H44" s="6">
        <v>15.0</v>
      </c>
      <c r="I44" s="6">
        <v>45000.0</v>
      </c>
      <c r="J44" s="6">
        <v>3000.0</v>
      </c>
      <c r="K44" s="6">
        <v>0.0</v>
      </c>
      <c r="L44" s="6">
        <v>450.0</v>
      </c>
      <c r="M44" s="6">
        <v>0.0</v>
      </c>
      <c r="N44" s="6">
        <v>3600.0</v>
      </c>
      <c r="O44" s="6">
        <v>4500.0</v>
      </c>
      <c r="P44" s="6">
        <v>27000.0</v>
      </c>
      <c r="Q44" s="6">
        <v>6500.0</v>
      </c>
      <c r="R44" s="6">
        <v>0.0</v>
      </c>
      <c r="S44" s="6">
        <v>900.0</v>
      </c>
      <c r="T44" s="6">
        <v>97.0</v>
      </c>
      <c r="U44" s="6">
        <v>4.0</v>
      </c>
      <c r="V44" s="6">
        <v>88.0</v>
      </c>
      <c r="W44" s="6">
        <v>7.0</v>
      </c>
      <c r="X44" s="6" t="s">
        <v>182</v>
      </c>
      <c r="Y44" s="6">
        <v>6.0</v>
      </c>
    </row>
    <row r="45">
      <c r="A45" s="7">
        <v>45970.0</v>
      </c>
      <c r="B45" s="6">
        <v>4.512345678003E12</v>
      </c>
      <c r="C45" s="6" t="s">
        <v>110</v>
      </c>
      <c r="D45" s="6" t="s">
        <v>111</v>
      </c>
      <c r="E45" s="6" t="s">
        <v>112</v>
      </c>
      <c r="F45" s="6">
        <v>3757.0</v>
      </c>
      <c r="G45" s="6">
        <v>186.0</v>
      </c>
      <c r="H45" s="6">
        <v>205.0</v>
      </c>
      <c r="I45" s="6">
        <v>615000.0</v>
      </c>
      <c r="J45" s="6">
        <v>3000.0</v>
      </c>
      <c r="K45" s="6">
        <v>0.0</v>
      </c>
      <c r="L45" s="6">
        <v>6150.0</v>
      </c>
      <c r="M45" s="6">
        <v>0.0</v>
      </c>
      <c r="N45" s="6">
        <v>49200.0</v>
      </c>
      <c r="O45" s="6">
        <v>30750.0</v>
      </c>
      <c r="P45" s="6">
        <v>369000.0</v>
      </c>
      <c r="Q45" s="6">
        <v>93000.0</v>
      </c>
      <c r="R45" s="6">
        <v>0.0</v>
      </c>
      <c r="S45" s="6">
        <v>1800.0</v>
      </c>
      <c r="T45" s="6">
        <v>382.0</v>
      </c>
      <c r="U45" s="6">
        <v>4.3</v>
      </c>
      <c r="V45" s="6">
        <v>308.0</v>
      </c>
      <c r="W45" s="6">
        <v>1.0</v>
      </c>
      <c r="X45" s="6" t="s">
        <v>183</v>
      </c>
      <c r="Y45" s="6">
        <v>3.0</v>
      </c>
    </row>
    <row r="46">
      <c r="A46" s="7">
        <v>45970.0</v>
      </c>
      <c r="B46" s="6">
        <v>4.512345678004E12</v>
      </c>
      <c r="C46" s="6" t="s">
        <v>113</v>
      </c>
      <c r="D46" s="6" t="s">
        <v>114</v>
      </c>
      <c r="E46" s="6" t="s">
        <v>115</v>
      </c>
      <c r="F46" s="6">
        <v>776.0</v>
      </c>
      <c r="G46" s="6">
        <v>21.0</v>
      </c>
      <c r="H46" s="6">
        <v>22.0</v>
      </c>
      <c r="I46" s="6">
        <v>66000.0</v>
      </c>
      <c r="J46" s="6">
        <v>3000.0</v>
      </c>
      <c r="K46" s="6">
        <v>0.0</v>
      </c>
      <c r="L46" s="6">
        <v>660.0</v>
      </c>
      <c r="M46" s="6">
        <v>0.0</v>
      </c>
      <c r="N46" s="6">
        <v>5280.0</v>
      </c>
      <c r="O46" s="6">
        <v>9900.0</v>
      </c>
      <c r="P46" s="6">
        <v>39600.0</v>
      </c>
      <c r="Q46" s="6">
        <v>10500.0</v>
      </c>
      <c r="R46" s="6">
        <v>0.0</v>
      </c>
      <c r="S46" s="6">
        <v>600.0</v>
      </c>
      <c r="T46" s="6">
        <v>75.0</v>
      </c>
      <c r="U46" s="6">
        <v>4.5</v>
      </c>
      <c r="V46" s="6">
        <v>68.0</v>
      </c>
      <c r="W46" s="6">
        <v>14.0</v>
      </c>
      <c r="X46" s="6" t="s">
        <v>184</v>
      </c>
      <c r="Y46" s="6">
        <v>14.0</v>
      </c>
    </row>
    <row r="47">
      <c r="A47" s="8">
        <v>45970.0</v>
      </c>
      <c r="B47" s="6">
        <v>4.512345678005E12</v>
      </c>
      <c r="C47" s="6" t="s">
        <v>116</v>
      </c>
      <c r="D47" s="6" t="s">
        <v>117</v>
      </c>
      <c r="E47" s="6" t="s">
        <v>118</v>
      </c>
      <c r="F47" s="6">
        <v>53.0</v>
      </c>
      <c r="G47" s="6">
        <v>0.0</v>
      </c>
      <c r="H47" s="6">
        <v>0.0</v>
      </c>
      <c r="I47" s="6">
        <v>0.0</v>
      </c>
      <c r="J47" s="6">
        <v>4500.0</v>
      </c>
      <c r="K47" s="6">
        <v>0.0</v>
      </c>
      <c r="L47" s="6">
        <v>0.0</v>
      </c>
      <c r="M47" s="6">
        <v>0.0</v>
      </c>
      <c r="N47" s="6">
        <v>0.0</v>
      </c>
      <c r="O47" s="6">
        <v>500.0</v>
      </c>
      <c r="P47" s="6">
        <v>0.0</v>
      </c>
      <c r="Q47" s="6">
        <v>0.0</v>
      </c>
      <c r="R47" s="6">
        <v>0.0</v>
      </c>
      <c r="S47" s="6">
        <v>2000.0</v>
      </c>
      <c r="T47" s="6">
        <v>49.0</v>
      </c>
      <c r="U47" s="6">
        <v>4.0</v>
      </c>
      <c r="V47" s="6">
        <v>13.0</v>
      </c>
      <c r="W47" s="6">
        <v>35.0</v>
      </c>
      <c r="X47" s="6" t="s">
        <v>185</v>
      </c>
      <c r="Y47" s="6">
        <v>30.0</v>
      </c>
    </row>
    <row r="48">
      <c r="A48" s="8">
        <v>45971.0</v>
      </c>
      <c r="B48" s="6">
        <v>4.512345678001E12</v>
      </c>
      <c r="C48" s="6" t="s">
        <v>178</v>
      </c>
      <c r="D48" s="6" t="s">
        <v>179</v>
      </c>
      <c r="E48" s="6" t="s">
        <v>180</v>
      </c>
      <c r="F48" s="6">
        <v>1782.0</v>
      </c>
      <c r="G48" s="6">
        <v>56.0</v>
      </c>
      <c r="H48" s="6">
        <v>67.0</v>
      </c>
      <c r="I48" s="6">
        <v>335000.0</v>
      </c>
      <c r="J48" s="6">
        <v>5000.0</v>
      </c>
      <c r="K48" s="6">
        <v>0.0</v>
      </c>
      <c r="L48" s="6">
        <v>3350.0</v>
      </c>
      <c r="M48" s="6">
        <v>0.0</v>
      </c>
      <c r="N48" s="6">
        <v>26800.0</v>
      </c>
      <c r="O48" s="6">
        <v>33500.0</v>
      </c>
      <c r="P48" s="6">
        <v>201000.0</v>
      </c>
      <c r="Q48" s="6">
        <v>28000.0</v>
      </c>
      <c r="R48" s="6">
        <v>0.0</v>
      </c>
      <c r="S48" s="6">
        <v>2500.0</v>
      </c>
      <c r="T48" s="6">
        <v>460.0</v>
      </c>
      <c r="U48" s="6">
        <v>4.8</v>
      </c>
      <c r="V48" s="6">
        <v>159.0</v>
      </c>
      <c r="W48" s="6">
        <v>2.0</v>
      </c>
      <c r="X48" s="6" t="s">
        <v>181</v>
      </c>
      <c r="Y48" s="6">
        <v>4.0</v>
      </c>
    </row>
    <row r="49">
      <c r="A49" s="8">
        <v>45971.0</v>
      </c>
      <c r="B49" s="6">
        <v>4.512345678002E12</v>
      </c>
      <c r="C49" s="6" t="s">
        <v>106</v>
      </c>
      <c r="D49" s="6" t="s">
        <v>107</v>
      </c>
      <c r="E49" s="6" t="s">
        <v>108</v>
      </c>
      <c r="F49" s="6">
        <v>650.0</v>
      </c>
      <c r="G49" s="6">
        <v>11.0</v>
      </c>
      <c r="H49" s="6">
        <v>12.0</v>
      </c>
      <c r="I49" s="6">
        <v>36000.0</v>
      </c>
      <c r="J49" s="6">
        <v>3000.0</v>
      </c>
      <c r="K49" s="6">
        <v>0.0</v>
      </c>
      <c r="L49" s="6">
        <v>360.0</v>
      </c>
      <c r="M49" s="6">
        <v>0.0</v>
      </c>
      <c r="N49" s="6">
        <v>2880.0</v>
      </c>
      <c r="O49" s="6">
        <v>3600.0</v>
      </c>
      <c r="P49" s="6">
        <v>21600.0</v>
      </c>
      <c r="Q49" s="6">
        <v>5500.0</v>
      </c>
      <c r="R49" s="6">
        <v>0.0</v>
      </c>
      <c r="S49" s="6">
        <v>900.0</v>
      </c>
      <c r="T49" s="6">
        <v>85.0</v>
      </c>
      <c r="U49" s="6">
        <v>4.9</v>
      </c>
      <c r="V49" s="6">
        <v>89.0</v>
      </c>
      <c r="W49" s="6">
        <v>9.0</v>
      </c>
      <c r="X49" s="6" t="s">
        <v>182</v>
      </c>
      <c r="Y49" s="6">
        <v>5.0</v>
      </c>
    </row>
    <row r="50">
      <c r="A50" s="8">
        <v>45971.0</v>
      </c>
      <c r="B50" s="6">
        <v>4.512345678003E12</v>
      </c>
      <c r="C50" s="6" t="s">
        <v>110</v>
      </c>
      <c r="D50" s="6" t="s">
        <v>111</v>
      </c>
      <c r="E50" s="6" t="s">
        <v>112</v>
      </c>
      <c r="F50" s="6">
        <v>2671.0</v>
      </c>
      <c r="G50" s="6">
        <v>147.0</v>
      </c>
      <c r="H50" s="6">
        <v>162.0</v>
      </c>
      <c r="I50" s="6">
        <v>486000.0</v>
      </c>
      <c r="J50" s="6">
        <v>3000.0</v>
      </c>
      <c r="K50" s="6">
        <v>0.0</v>
      </c>
      <c r="L50" s="6">
        <v>4860.0</v>
      </c>
      <c r="M50" s="6">
        <v>0.0</v>
      </c>
      <c r="N50" s="6">
        <v>38880.0</v>
      </c>
      <c r="O50" s="6">
        <v>24300.0</v>
      </c>
      <c r="P50" s="6">
        <v>291600.0</v>
      </c>
      <c r="Q50" s="6">
        <v>73500.0</v>
      </c>
      <c r="R50" s="6">
        <v>0.0</v>
      </c>
      <c r="S50" s="6">
        <v>1800.0</v>
      </c>
      <c r="T50" s="6">
        <v>220.0</v>
      </c>
      <c r="U50" s="6">
        <v>3.6</v>
      </c>
      <c r="V50" s="6">
        <v>309.0</v>
      </c>
      <c r="W50" s="6">
        <v>1.0</v>
      </c>
      <c r="X50" s="6" t="s">
        <v>183</v>
      </c>
      <c r="Y50" s="6">
        <v>3.0</v>
      </c>
    </row>
    <row r="51">
      <c r="A51" s="8">
        <v>45971.0</v>
      </c>
      <c r="B51" s="6">
        <v>4.512345678004E12</v>
      </c>
      <c r="C51" s="6" t="s">
        <v>113</v>
      </c>
      <c r="D51" s="6" t="s">
        <v>114</v>
      </c>
      <c r="E51" s="6" t="s">
        <v>115</v>
      </c>
      <c r="F51" s="6">
        <v>567.0</v>
      </c>
      <c r="G51" s="6">
        <v>10.0</v>
      </c>
      <c r="H51" s="6">
        <v>11.0</v>
      </c>
      <c r="I51" s="6">
        <v>33000.0</v>
      </c>
      <c r="J51" s="6">
        <v>3000.0</v>
      </c>
      <c r="K51" s="6">
        <v>0.0</v>
      </c>
      <c r="L51" s="6">
        <v>330.0</v>
      </c>
      <c r="M51" s="6">
        <v>0.0</v>
      </c>
      <c r="N51" s="6">
        <v>2640.0</v>
      </c>
      <c r="O51" s="6">
        <v>4950.0</v>
      </c>
      <c r="P51" s="6">
        <v>19800.0</v>
      </c>
      <c r="Q51" s="6">
        <v>5000.0</v>
      </c>
      <c r="R51" s="6">
        <v>0.0</v>
      </c>
      <c r="S51" s="6">
        <v>600.0</v>
      </c>
      <c r="T51" s="6">
        <v>64.0</v>
      </c>
      <c r="U51" s="6">
        <v>4.9</v>
      </c>
      <c r="V51" s="6">
        <v>69.0</v>
      </c>
      <c r="W51" s="6">
        <v>16.0</v>
      </c>
      <c r="X51" s="6" t="s">
        <v>184</v>
      </c>
      <c r="Y51" s="6">
        <v>9.0</v>
      </c>
    </row>
    <row r="52">
      <c r="A52" s="8">
        <v>45971.0</v>
      </c>
      <c r="B52" s="6">
        <v>4.512345678005E12</v>
      </c>
      <c r="C52" s="6" t="s">
        <v>116</v>
      </c>
      <c r="D52" s="6" t="s">
        <v>117</v>
      </c>
      <c r="E52" s="6" t="s">
        <v>118</v>
      </c>
      <c r="F52" s="6">
        <v>58.0</v>
      </c>
      <c r="G52" s="6">
        <v>0.0</v>
      </c>
      <c r="H52" s="6">
        <v>0.0</v>
      </c>
      <c r="I52" s="6">
        <v>0.0</v>
      </c>
      <c r="J52" s="6">
        <v>4500.0</v>
      </c>
      <c r="K52" s="6">
        <v>0.0</v>
      </c>
      <c r="L52" s="6">
        <v>0.0</v>
      </c>
      <c r="M52" s="6">
        <v>0.0</v>
      </c>
      <c r="N52" s="6">
        <v>0.0</v>
      </c>
      <c r="O52" s="6">
        <v>500.0</v>
      </c>
      <c r="P52" s="6">
        <v>0.0</v>
      </c>
      <c r="Q52" s="6">
        <v>0.0</v>
      </c>
      <c r="R52" s="6">
        <v>0.0</v>
      </c>
      <c r="S52" s="6">
        <v>2000.0</v>
      </c>
      <c r="T52" s="6">
        <v>49.0</v>
      </c>
      <c r="U52" s="6">
        <v>3.9</v>
      </c>
      <c r="V52" s="6">
        <v>14.0</v>
      </c>
      <c r="W52" s="6">
        <v>32.0</v>
      </c>
      <c r="X52" s="6" t="s">
        <v>185</v>
      </c>
      <c r="Y52" s="6">
        <v>32.0</v>
      </c>
    </row>
    <row r="53">
      <c r="A53" s="8">
        <v>45972.0</v>
      </c>
      <c r="B53" s="6">
        <v>4.512345678001E12</v>
      </c>
      <c r="C53" s="6" t="s">
        <v>178</v>
      </c>
      <c r="D53" s="6" t="s">
        <v>179</v>
      </c>
      <c r="E53" s="6" t="s">
        <v>180</v>
      </c>
      <c r="F53" s="6">
        <v>1347.0</v>
      </c>
      <c r="G53" s="6">
        <v>46.0</v>
      </c>
      <c r="H53" s="6">
        <v>49.0</v>
      </c>
      <c r="I53" s="6">
        <v>245000.0</v>
      </c>
      <c r="J53" s="6">
        <v>5000.0</v>
      </c>
      <c r="K53" s="6">
        <v>0.0</v>
      </c>
      <c r="L53" s="6">
        <v>2450.0</v>
      </c>
      <c r="M53" s="6">
        <v>0.0</v>
      </c>
      <c r="N53" s="6">
        <v>19600.0</v>
      </c>
      <c r="O53" s="6">
        <v>24500.0</v>
      </c>
      <c r="P53" s="6">
        <v>147000.0</v>
      </c>
      <c r="Q53" s="6">
        <v>23000.0</v>
      </c>
      <c r="R53" s="6">
        <v>0.0</v>
      </c>
      <c r="S53" s="6">
        <v>2500.0</v>
      </c>
      <c r="T53" s="6">
        <v>411.0</v>
      </c>
      <c r="U53" s="6">
        <v>4.5</v>
      </c>
      <c r="V53" s="6">
        <v>160.0</v>
      </c>
      <c r="W53" s="6">
        <v>2.0</v>
      </c>
      <c r="X53" s="6" t="s">
        <v>181</v>
      </c>
      <c r="Y53" s="6">
        <v>1.0</v>
      </c>
    </row>
    <row r="54">
      <c r="A54" s="8">
        <v>45972.0</v>
      </c>
      <c r="B54" s="6">
        <v>4.512345678002E12</v>
      </c>
      <c r="C54" s="6" t="s">
        <v>106</v>
      </c>
      <c r="D54" s="6" t="s">
        <v>107</v>
      </c>
      <c r="E54" s="6" t="s">
        <v>108</v>
      </c>
      <c r="F54" s="6">
        <v>921.0</v>
      </c>
      <c r="G54" s="6">
        <v>23.0</v>
      </c>
      <c r="H54" s="6">
        <v>24.0</v>
      </c>
      <c r="I54" s="6">
        <v>72000.0</v>
      </c>
      <c r="J54" s="6">
        <v>3000.0</v>
      </c>
      <c r="K54" s="6">
        <v>0.0</v>
      </c>
      <c r="L54" s="6">
        <v>720.0</v>
      </c>
      <c r="M54" s="6">
        <v>0.0</v>
      </c>
      <c r="N54" s="6">
        <v>5760.0</v>
      </c>
      <c r="O54" s="6">
        <v>7200.0</v>
      </c>
      <c r="P54" s="6">
        <v>43200.0</v>
      </c>
      <c r="Q54" s="6">
        <v>11500.0</v>
      </c>
      <c r="R54" s="6">
        <v>0.0</v>
      </c>
      <c r="S54" s="6">
        <v>900.0</v>
      </c>
      <c r="T54" s="6">
        <v>61.0</v>
      </c>
      <c r="U54" s="6">
        <v>4.2</v>
      </c>
      <c r="V54" s="6">
        <v>90.0</v>
      </c>
      <c r="W54" s="6">
        <v>10.0</v>
      </c>
      <c r="X54" s="6" t="s">
        <v>182</v>
      </c>
      <c r="Y54" s="6">
        <v>12.0</v>
      </c>
    </row>
    <row r="55">
      <c r="A55" s="8">
        <v>45972.0</v>
      </c>
      <c r="B55" s="6">
        <v>4.512345678003E12</v>
      </c>
      <c r="C55" s="6" t="s">
        <v>110</v>
      </c>
      <c r="D55" s="6" t="s">
        <v>111</v>
      </c>
      <c r="E55" s="6" t="s">
        <v>112</v>
      </c>
      <c r="F55" s="6">
        <v>2779.0</v>
      </c>
      <c r="G55" s="6">
        <v>150.0</v>
      </c>
      <c r="H55" s="6">
        <v>174.0</v>
      </c>
      <c r="I55" s="6">
        <v>522000.0</v>
      </c>
      <c r="J55" s="6">
        <v>3000.0</v>
      </c>
      <c r="K55" s="6">
        <v>0.0</v>
      </c>
      <c r="L55" s="6">
        <v>5220.0</v>
      </c>
      <c r="M55" s="6">
        <v>0.0</v>
      </c>
      <c r="N55" s="6">
        <v>41760.0</v>
      </c>
      <c r="O55" s="6">
        <v>26100.0</v>
      </c>
      <c r="P55" s="6">
        <v>313200.0</v>
      </c>
      <c r="Q55" s="6">
        <v>75000.0</v>
      </c>
      <c r="R55" s="6">
        <v>0.0</v>
      </c>
      <c r="S55" s="6">
        <v>1800.0</v>
      </c>
      <c r="T55" s="6">
        <v>46.0</v>
      </c>
      <c r="U55" s="6">
        <v>4.8</v>
      </c>
      <c r="V55" s="6">
        <v>310.0</v>
      </c>
      <c r="W55" s="6">
        <v>1.0</v>
      </c>
      <c r="X55" s="6" t="s">
        <v>183</v>
      </c>
      <c r="Y55" s="6">
        <v>3.0</v>
      </c>
    </row>
    <row r="56">
      <c r="A56" s="8">
        <v>45972.0</v>
      </c>
      <c r="B56" s="6">
        <v>4.512345678004E12</v>
      </c>
      <c r="C56" s="6" t="s">
        <v>113</v>
      </c>
      <c r="D56" s="6" t="s">
        <v>114</v>
      </c>
      <c r="E56" s="6" t="s">
        <v>115</v>
      </c>
      <c r="F56" s="6">
        <v>511.0</v>
      </c>
      <c r="G56" s="6">
        <v>13.0</v>
      </c>
      <c r="H56" s="6">
        <v>13.0</v>
      </c>
      <c r="I56" s="6">
        <v>39000.0</v>
      </c>
      <c r="J56" s="6">
        <v>3000.0</v>
      </c>
      <c r="K56" s="6">
        <v>0.0</v>
      </c>
      <c r="L56" s="6">
        <v>390.0</v>
      </c>
      <c r="M56" s="6">
        <v>0.0</v>
      </c>
      <c r="N56" s="6">
        <v>3120.0</v>
      </c>
      <c r="O56" s="6">
        <v>5850.0</v>
      </c>
      <c r="P56" s="6">
        <v>23400.0</v>
      </c>
      <c r="Q56" s="6">
        <v>6500.0</v>
      </c>
      <c r="R56" s="6">
        <v>0.0</v>
      </c>
      <c r="S56" s="6">
        <v>600.0</v>
      </c>
      <c r="T56" s="6">
        <v>51.0</v>
      </c>
      <c r="U56" s="6">
        <v>4.3</v>
      </c>
      <c r="V56" s="6">
        <v>70.0</v>
      </c>
      <c r="W56" s="6">
        <v>15.0</v>
      </c>
      <c r="X56" s="6" t="s">
        <v>184</v>
      </c>
      <c r="Y56" s="6">
        <v>12.0</v>
      </c>
    </row>
    <row r="57">
      <c r="A57" s="8">
        <v>45972.0</v>
      </c>
      <c r="B57" s="6">
        <v>4.512345678005E12</v>
      </c>
      <c r="C57" s="6" t="s">
        <v>116</v>
      </c>
      <c r="D57" s="6" t="s">
        <v>117</v>
      </c>
      <c r="E57" s="6" t="s">
        <v>118</v>
      </c>
      <c r="F57" s="6">
        <v>41.0</v>
      </c>
      <c r="G57" s="6">
        <v>0.0</v>
      </c>
      <c r="H57" s="6">
        <v>0.0</v>
      </c>
      <c r="I57" s="6">
        <v>0.0</v>
      </c>
      <c r="J57" s="6">
        <v>4500.0</v>
      </c>
      <c r="K57" s="6">
        <v>0.0</v>
      </c>
      <c r="L57" s="6">
        <v>0.0</v>
      </c>
      <c r="M57" s="6">
        <v>0.0</v>
      </c>
      <c r="N57" s="6">
        <v>0.0</v>
      </c>
      <c r="O57" s="6">
        <v>500.0</v>
      </c>
      <c r="P57" s="6">
        <v>0.0</v>
      </c>
      <c r="Q57" s="6">
        <v>0.0</v>
      </c>
      <c r="R57" s="6">
        <v>0.0</v>
      </c>
      <c r="S57" s="6">
        <v>2000.0</v>
      </c>
      <c r="T57" s="6">
        <v>49.0</v>
      </c>
      <c r="U57" s="6">
        <v>4.7</v>
      </c>
      <c r="V57" s="6">
        <v>15.0</v>
      </c>
      <c r="W57" s="6">
        <v>33.0</v>
      </c>
      <c r="X57" s="6" t="s">
        <v>185</v>
      </c>
      <c r="Y57" s="6">
        <v>34.0</v>
      </c>
    </row>
    <row r="58">
      <c r="A58" s="8">
        <v>45973.0</v>
      </c>
      <c r="B58" s="6">
        <v>4.512345678001E12</v>
      </c>
      <c r="C58" s="6" t="s">
        <v>178</v>
      </c>
      <c r="D58" s="6" t="s">
        <v>179</v>
      </c>
      <c r="E58" s="6" t="s">
        <v>180</v>
      </c>
      <c r="F58" s="6">
        <v>1788.0</v>
      </c>
      <c r="G58" s="6">
        <v>60.0</v>
      </c>
      <c r="H58" s="6">
        <v>63.0</v>
      </c>
      <c r="I58" s="6">
        <v>315000.0</v>
      </c>
      <c r="J58" s="6">
        <v>5000.0</v>
      </c>
      <c r="K58" s="6">
        <v>0.0</v>
      </c>
      <c r="L58" s="6">
        <v>3150.0</v>
      </c>
      <c r="M58" s="6">
        <v>0.0</v>
      </c>
      <c r="N58" s="6">
        <v>25200.0</v>
      </c>
      <c r="O58" s="6">
        <v>31500.0</v>
      </c>
      <c r="P58" s="6">
        <v>189000.0</v>
      </c>
      <c r="Q58" s="6">
        <v>30000.0</v>
      </c>
      <c r="R58" s="6">
        <v>0.0</v>
      </c>
      <c r="S58" s="6">
        <v>2500.0</v>
      </c>
      <c r="T58" s="6">
        <v>348.0</v>
      </c>
      <c r="U58" s="6">
        <v>4.3</v>
      </c>
      <c r="V58" s="6">
        <v>161.0</v>
      </c>
      <c r="W58" s="6">
        <v>4.0</v>
      </c>
      <c r="X58" s="6" t="s">
        <v>181</v>
      </c>
      <c r="Y58" s="6">
        <v>5.0</v>
      </c>
    </row>
    <row r="59">
      <c r="A59" s="8">
        <v>45973.0</v>
      </c>
      <c r="B59" s="6">
        <v>4.512345678002E12</v>
      </c>
      <c r="C59" s="6" t="s">
        <v>106</v>
      </c>
      <c r="D59" s="6" t="s">
        <v>107</v>
      </c>
      <c r="E59" s="6" t="s">
        <v>108</v>
      </c>
      <c r="F59" s="6">
        <v>810.0</v>
      </c>
      <c r="G59" s="6">
        <v>16.0</v>
      </c>
      <c r="H59" s="6">
        <v>17.0</v>
      </c>
      <c r="I59" s="6">
        <v>51000.0</v>
      </c>
      <c r="J59" s="6">
        <v>3000.0</v>
      </c>
      <c r="K59" s="6">
        <v>0.0</v>
      </c>
      <c r="L59" s="6">
        <v>510.0</v>
      </c>
      <c r="M59" s="6">
        <v>0.0</v>
      </c>
      <c r="N59" s="6">
        <v>4080.0</v>
      </c>
      <c r="O59" s="6">
        <v>5100.0</v>
      </c>
      <c r="P59" s="6">
        <v>30600.0</v>
      </c>
      <c r="Q59" s="6">
        <v>8000.0</v>
      </c>
      <c r="R59" s="6">
        <v>0.0</v>
      </c>
      <c r="S59" s="6">
        <v>900.0</v>
      </c>
      <c r="T59" s="6">
        <v>44.0</v>
      </c>
      <c r="U59" s="6">
        <v>4.2</v>
      </c>
      <c r="V59" s="6">
        <v>91.0</v>
      </c>
      <c r="W59" s="6">
        <v>13.0</v>
      </c>
      <c r="X59" s="6" t="s">
        <v>182</v>
      </c>
      <c r="Y59" s="6">
        <v>11.0</v>
      </c>
    </row>
    <row r="60">
      <c r="A60" s="8">
        <v>45973.0</v>
      </c>
      <c r="B60" s="6">
        <v>4.512345678003E12</v>
      </c>
      <c r="C60" s="6" t="s">
        <v>110</v>
      </c>
      <c r="D60" s="6" t="s">
        <v>111</v>
      </c>
      <c r="E60" s="6" t="s">
        <v>112</v>
      </c>
      <c r="F60" s="6">
        <v>3418.0</v>
      </c>
      <c r="G60" s="6">
        <v>175.0</v>
      </c>
      <c r="H60" s="6">
        <v>198.0</v>
      </c>
      <c r="I60" s="6">
        <v>594000.0</v>
      </c>
      <c r="J60" s="6">
        <v>3000.0</v>
      </c>
      <c r="K60" s="6">
        <v>0.0</v>
      </c>
      <c r="L60" s="6">
        <v>5940.0</v>
      </c>
      <c r="M60" s="6">
        <v>0.0</v>
      </c>
      <c r="N60" s="6">
        <v>47520.0</v>
      </c>
      <c r="O60" s="6">
        <v>29700.0</v>
      </c>
      <c r="P60" s="6">
        <v>356400.0</v>
      </c>
      <c r="Q60" s="6">
        <v>87500.0</v>
      </c>
      <c r="R60" s="6">
        <v>0.0</v>
      </c>
      <c r="S60" s="6">
        <v>1800.0</v>
      </c>
      <c r="T60" s="6">
        <v>348.0</v>
      </c>
      <c r="U60" s="6">
        <v>4.0</v>
      </c>
      <c r="V60" s="6">
        <v>311.0</v>
      </c>
      <c r="W60" s="6">
        <v>1.0</v>
      </c>
      <c r="X60" s="6" t="s">
        <v>183</v>
      </c>
      <c r="Y60" s="6">
        <v>1.0</v>
      </c>
    </row>
    <row r="61">
      <c r="A61" s="8">
        <v>45973.0</v>
      </c>
      <c r="B61" s="6">
        <v>4.512345678004E12</v>
      </c>
      <c r="C61" s="6" t="s">
        <v>113</v>
      </c>
      <c r="D61" s="6" t="s">
        <v>114</v>
      </c>
      <c r="E61" s="6" t="s">
        <v>115</v>
      </c>
      <c r="F61" s="6">
        <v>657.0</v>
      </c>
      <c r="G61" s="6">
        <v>16.0</v>
      </c>
      <c r="H61" s="6">
        <v>17.0</v>
      </c>
      <c r="I61" s="6">
        <v>51000.0</v>
      </c>
      <c r="J61" s="6">
        <v>3000.0</v>
      </c>
      <c r="K61" s="6">
        <v>0.0</v>
      </c>
      <c r="L61" s="6">
        <v>510.0</v>
      </c>
      <c r="M61" s="6">
        <v>0.0</v>
      </c>
      <c r="N61" s="6">
        <v>4080.0</v>
      </c>
      <c r="O61" s="6">
        <v>7650.0</v>
      </c>
      <c r="P61" s="6">
        <v>30600.0</v>
      </c>
      <c r="Q61" s="6">
        <v>8000.0</v>
      </c>
      <c r="R61" s="6">
        <v>0.0</v>
      </c>
      <c r="S61" s="6">
        <v>600.0</v>
      </c>
      <c r="T61" s="6">
        <v>34.0</v>
      </c>
      <c r="U61" s="6">
        <v>3.6</v>
      </c>
      <c r="V61" s="6">
        <v>71.0</v>
      </c>
      <c r="W61" s="6">
        <v>13.0</v>
      </c>
      <c r="X61" s="6" t="s">
        <v>184</v>
      </c>
      <c r="Y61" s="6">
        <v>10.0</v>
      </c>
    </row>
    <row r="62">
      <c r="A62" s="8">
        <v>45973.0</v>
      </c>
      <c r="B62" s="6">
        <v>4.512345678005E12</v>
      </c>
      <c r="C62" s="6" t="s">
        <v>116</v>
      </c>
      <c r="D62" s="6" t="s">
        <v>117</v>
      </c>
      <c r="E62" s="6" t="s">
        <v>118</v>
      </c>
      <c r="F62" s="6">
        <v>44.0</v>
      </c>
      <c r="G62" s="6">
        <v>0.0</v>
      </c>
      <c r="H62" s="6">
        <v>0.0</v>
      </c>
      <c r="I62" s="6">
        <v>0.0</v>
      </c>
      <c r="J62" s="6">
        <v>4500.0</v>
      </c>
      <c r="K62" s="6">
        <v>0.0</v>
      </c>
      <c r="L62" s="6">
        <v>0.0</v>
      </c>
      <c r="M62" s="6">
        <v>0.0</v>
      </c>
      <c r="N62" s="6">
        <v>0.0</v>
      </c>
      <c r="O62" s="6">
        <v>500.0</v>
      </c>
      <c r="P62" s="6">
        <v>0.0</v>
      </c>
      <c r="Q62" s="6">
        <v>0.0</v>
      </c>
      <c r="R62" s="6">
        <v>0.0</v>
      </c>
      <c r="S62" s="6">
        <v>2000.0</v>
      </c>
      <c r="T62" s="6">
        <v>49.0</v>
      </c>
      <c r="U62" s="6">
        <v>4.5</v>
      </c>
      <c r="V62" s="6">
        <v>16.0</v>
      </c>
      <c r="W62" s="6">
        <v>31.0</v>
      </c>
      <c r="X62" s="6" t="s">
        <v>185</v>
      </c>
      <c r="Y62" s="6">
        <v>41.0</v>
      </c>
    </row>
    <row r="63">
      <c r="A63" s="8">
        <v>45974.0</v>
      </c>
      <c r="B63" s="6">
        <v>4.512345678001E12</v>
      </c>
      <c r="C63" s="6" t="s">
        <v>178</v>
      </c>
      <c r="D63" s="6" t="s">
        <v>179</v>
      </c>
      <c r="E63" s="6" t="s">
        <v>180</v>
      </c>
      <c r="F63" s="6">
        <v>1264.0</v>
      </c>
      <c r="G63" s="6">
        <v>42.0</v>
      </c>
      <c r="H63" s="6">
        <v>43.0</v>
      </c>
      <c r="I63" s="6">
        <v>215000.0</v>
      </c>
      <c r="J63" s="6">
        <v>5000.0</v>
      </c>
      <c r="K63" s="6">
        <v>0.0</v>
      </c>
      <c r="L63" s="6">
        <v>2150.0</v>
      </c>
      <c r="M63" s="6">
        <v>0.0</v>
      </c>
      <c r="N63" s="6">
        <v>17200.0</v>
      </c>
      <c r="O63" s="6">
        <v>21500.0</v>
      </c>
      <c r="P63" s="6">
        <v>129000.0</v>
      </c>
      <c r="Q63" s="6">
        <v>21000.0</v>
      </c>
      <c r="R63" s="6">
        <v>0.0</v>
      </c>
      <c r="S63" s="6">
        <v>2500.0</v>
      </c>
      <c r="T63" s="6">
        <v>305.0</v>
      </c>
      <c r="U63" s="6">
        <v>4.1</v>
      </c>
      <c r="V63" s="6">
        <v>162.0</v>
      </c>
      <c r="W63" s="6">
        <v>1.0</v>
      </c>
      <c r="X63" s="6" t="s">
        <v>181</v>
      </c>
      <c r="Y63" s="6">
        <v>3.0</v>
      </c>
    </row>
    <row r="64">
      <c r="A64" s="8">
        <v>45974.0</v>
      </c>
      <c r="B64" s="6">
        <v>4.512345678002E12</v>
      </c>
      <c r="C64" s="6" t="s">
        <v>106</v>
      </c>
      <c r="D64" s="6" t="s">
        <v>107</v>
      </c>
      <c r="E64" s="6" t="s">
        <v>108</v>
      </c>
      <c r="F64" s="6">
        <v>877.0</v>
      </c>
      <c r="G64" s="6">
        <v>16.0</v>
      </c>
      <c r="H64" s="6">
        <v>16.0</v>
      </c>
      <c r="I64" s="6">
        <v>48000.0</v>
      </c>
      <c r="J64" s="6">
        <v>3000.0</v>
      </c>
      <c r="K64" s="6">
        <v>0.0</v>
      </c>
      <c r="L64" s="6">
        <v>480.0</v>
      </c>
      <c r="M64" s="6">
        <v>0.0</v>
      </c>
      <c r="N64" s="6">
        <v>3840.0</v>
      </c>
      <c r="O64" s="6">
        <v>4800.0</v>
      </c>
      <c r="P64" s="6">
        <v>28800.0</v>
      </c>
      <c r="Q64" s="6">
        <v>8000.0</v>
      </c>
      <c r="R64" s="6">
        <v>0.0</v>
      </c>
      <c r="S64" s="6">
        <v>900.0</v>
      </c>
      <c r="T64" s="6">
        <v>28.0</v>
      </c>
      <c r="U64" s="6">
        <v>4.2</v>
      </c>
      <c r="V64" s="6">
        <v>92.0</v>
      </c>
      <c r="W64" s="6">
        <v>10.0</v>
      </c>
      <c r="X64" s="6" t="s">
        <v>182</v>
      </c>
      <c r="Y64" s="6">
        <v>13.0</v>
      </c>
    </row>
    <row r="65">
      <c r="A65" s="8">
        <v>45974.0</v>
      </c>
      <c r="B65" s="6">
        <v>4.512345678003E12</v>
      </c>
      <c r="C65" s="6" t="s">
        <v>110</v>
      </c>
      <c r="D65" s="6" t="s">
        <v>111</v>
      </c>
      <c r="E65" s="6" t="s">
        <v>112</v>
      </c>
      <c r="F65" s="6">
        <v>2814.0</v>
      </c>
      <c r="G65" s="6">
        <v>159.0</v>
      </c>
      <c r="H65" s="6">
        <v>172.0</v>
      </c>
      <c r="I65" s="6">
        <v>516000.0</v>
      </c>
      <c r="J65" s="6">
        <v>3000.0</v>
      </c>
      <c r="K65" s="6">
        <v>0.0</v>
      </c>
      <c r="L65" s="6">
        <v>5160.0</v>
      </c>
      <c r="M65" s="6">
        <v>0.0</v>
      </c>
      <c r="N65" s="6">
        <v>41280.0</v>
      </c>
      <c r="O65" s="6">
        <v>25800.0</v>
      </c>
      <c r="P65" s="6">
        <v>309600.0</v>
      </c>
      <c r="Q65" s="6">
        <v>79500.0</v>
      </c>
      <c r="R65" s="6">
        <v>0.0</v>
      </c>
      <c r="S65" s="6">
        <v>1800.0</v>
      </c>
      <c r="T65" s="6">
        <v>176.0</v>
      </c>
      <c r="U65" s="6">
        <v>3.9</v>
      </c>
      <c r="V65" s="6">
        <v>312.0</v>
      </c>
      <c r="W65" s="6">
        <v>1.0</v>
      </c>
      <c r="X65" s="6" t="s">
        <v>183</v>
      </c>
      <c r="Y65" s="6">
        <v>1.0</v>
      </c>
    </row>
    <row r="66">
      <c r="A66" s="8">
        <v>45974.0</v>
      </c>
      <c r="B66" s="6">
        <v>4.512345678004E12</v>
      </c>
      <c r="C66" s="6" t="s">
        <v>113</v>
      </c>
      <c r="D66" s="6" t="s">
        <v>114</v>
      </c>
      <c r="E66" s="6" t="s">
        <v>115</v>
      </c>
      <c r="F66" s="6">
        <v>607.0</v>
      </c>
      <c r="G66" s="6">
        <v>10.0</v>
      </c>
      <c r="H66" s="6">
        <v>11.0</v>
      </c>
      <c r="I66" s="6">
        <v>33000.0</v>
      </c>
      <c r="J66" s="6">
        <v>3000.0</v>
      </c>
      <c r="K66" s="6">
        <v>0.0</v>
      </c>
      <c r="L66" s="6">
        <v>330.0</v>
      </c>
      <c r="M66" s="6">
        <v>1000.0</v>
      </c>
      <c r="N66" s="6">
        <v>2640.0</v>
      </c>
      <c r="O66" s="6">
        <v>4950.0</v>
      </c>
      <c r="P66" s="6">
        <v>19800.0</v>
      </c>
      <c r="Q66" s="6">
        <v>5000.0</v>
      </c>
      <c r="R66" s="6">
        <v>0.0</v>
      </c>
      <c r="S66" s="6">
        <v>600.0</v>
      </c>
      <c r="T66" s="6">
        <v>23.0</v>
      </c>
      <c r="U66" s="6">
        <v>3.6</v>
      </c>
      <c r="V66" s="6">
        <v>72.0</v>
      </c>
      <c r="W66" s="6">
        <v>16.0</v>
      </c>
      <c r="X66" s="6" t="s">
        <v>184</v>
      </c>
      <c r="Y66" s="6">
        <v>12.0</v>
      </c>
    </row>
    <row r="67">
      <c r="A67" s="8">
        <v>45974.0</v>
      </c>
      <c r="B67" s="6">
        <v>4.512345678005E12</v>
      </c>
      <c r="C67" s="6" t="s">
        <v>116</v>
      </c>
      <c r="D67" s="6" t="s">
        <v>117</v>
      </c>
      <c r="E67" s="6" t="s">
        <v>118</v>
      </c>
      <c r="F67" s="6">
        <v>44.0</v>
      </c>
      <c r="G67" s="6">
        <v>0.0</v>
      </c>
      <c r="H67" s="6">
        <v>0.0</v>
      </c>
      <c r="I67" s="6">
        <v>0.0</v>
      </c>
      <c r="J67" s="6">
        <v>4500.0</v>
      </c>
      <c r="K67" s="6">
        <v>0.0</v>
      </c>
      <c r="L67" s="6">
        <v>0.0</v>
      </c>
      <c r="M67" s="6">
        <v>0.0</v>
      </c>
      <c r="N67" s="6">
        <v>0.0</v>
      </c>
      <c r="O67" s="6">
        <v>500.0</v>
      </c>
      <c r="P67" s="6">
        <v>0.0</v>
      </c>
      <c r="Q67" s="6">
        <v>0.0</v>
      </c>
      <c r="R67" s="6">
        <v>0.0</v>
      </c>
      <c r="S67" s="6">
        <v>2000.0</v>
      </c>
      <c r="T67" s="6">
        <v>49.0</v>
      </c>
      <c r="U67" s="6">
        <v>4.0</v>
      </c>
      <c r="V67" s="6">
        <v>17.0</v>
      </c>
      <c r="W67" s="6">
        <v>33.0</v>
      </c>
      <c r="X67" s="6" t="s">
        <v>185</v>
      </c>
      <c r="Y67" s="6">
        <v>40.0</v>
      </c>
    </row>
    <row r="68">
      <c r="A68" s="8">
        <v>45975.0</v>
      </c>
      <c r="B68" s="6">
        <v>4.512345678001E12</v>
      </c>
      <c r="C68" s="6" t="s">
        <v>178</v>
      </c>
      <c r="D68" s="6" t="s">
        <v>179</v>
      </c>
      <c r="E68" s="6" t="s">
        <v>180</v>
      </c>
      <c r="F68" s="6">
        <v>1242.0</v>
      </c>
      <c r="G68" s="6">
        <v>44.0</v>
      </c>
      <c r="H68" s="6">
        <v>49.0</v>
      </c>
      <c r="I68" s="6">
        <v>245000.0</v>
      </c>
      <c r="J68" s="6">
        <v>5000.0</v>
      </c>
      <c r="K68" s="6">
        <v>0.0</v>
      </c>
      <c r="L68" s="6">
        <v>2450.0</v>
      </c>
      <c r="M68" s="6">
        <v>0.0</v>
      </c>
      <c r="N68" s="6">
        <v>19600.0</v>
      </c>
      <c r="O68" s="6">
        <v>24500.0</v>
      </c>
      <c r="P68" s="6">
        <v>147000.0</v>
      </c>
      <c r="Q68" s="6">
        <v>22000.0</v>
      </c>
      <c r="R68" s="6">
        <v>0.0</v>
      </c>
      <c r="S68" s="6">
        <v>2500.0</v>
      </c>
      <c r="T68" s="6">
        <v>256.0</v>
      </c>
      <c r="U68" s="6">
        <v>4.1</v>
      </c>
      <c r="V68" s="6">
        <v>163.0</v>
      </c>
      <c r="W68" s="6">
        <v>3.0</v>
      </c>
      <c r="X68" s="6" t="s">
        <v>181</v>
      </c>
      <c r="Y68" s="6">
        <v>1.0</v>
      </c>
    </row>
    <row r="69">
      <c r="A69" s="8">
        <v>45975.0</v>
      </c>
      <c r="B69" s="6">
        <v>4.512345678002E12</v>
      </c>
      <c r="C69" s="6" t="s">
        <v>106</v>
      </c>
      <c r="D69" s="6" t="s">
        <v>107</v>
      </c>
      <c r="E69" s="6" t="s">
        <v>108</v>
      </c>
      <c r="F69" s="6">
        <v>661.0</v>
      </c>
      <c r="G69" s="6">
        <v>17.0</v>
      </c>
      <c r="H69" s="6">
        <v>20.0</v>
      </c>
      <c r="I69" s="6">
        <v>60000.0</v>
      </c>
      <c r="J69" s="6">
        <v>3000.0</v>
      </c>
      <c r="K69" s="6">
        <v>0.0</v>
      </c>
      <c r="L69" s="6">
        <v>600.0</v>
      </c>
      <c r="M69" s="6">
        <v>0.0</v>
      </c>
      <c r="N69" s="6">
        <v>4800.0</v>
      </c>
      <c r="O69" s="6">
        <v>6000.0</v>
      </c>
      <c r="P69" s="6">
        <v>36000.0</v>
      </c>
      <c r="Q69" s="6">
        <v>8500.0</v>
      </c>
      <c r="R69" s="6">
        <v>0.0</v>
      </c>
      <c r="S69" s="6">
        <v>900.0</v>
      </c>
      <c r="T69" s="6">
        <v>8.0</v>
      </c>
      <c r="U69" s="6">
        <v>4.1</v>
      </c>
      <c r="V69" s="6">
        <v>93.0</v>
      </c>
      <c r="W69" s="6">
        <v>8.0</v>
      </c>
      <c r="X69" s="6" t="s">
        <v>182</v>
      </c>
      <c r="Y69" s="6">
        <v>9.0</v>
      </c>
    </row>
    <row r="70">
      <c r="A70" s="8">
        <v>45975.0</v>
      </c>
      <c r="B70" s="6">
        <v>4.512345678003E12</v>
      </c>
      <c r="C70" s="6" t="s">
        <v>110</v>
      </c>
      <c r="D70" s="6" t="s">
        <v>111</v>
      </c>
      <c r="E70" s="6" t="s">
        <v>112</v>
      </c>
      <c r="F70" s="6">
        <v>2723.0</v>
      </c>
      <c r="G70" s="6">
        <v>126.0</v>
      </c>
      <c r="H70" s="6">
        <v>135.0</v>
      </c>
      <c r="I70" s="6">
        <v>405000.0</v>
      </c>
      <c r="J70" s="6">
        <v>3000.0</v>
      </c>
      <c r="K70" s="6">
        <v>0.0</v>
      </c>
      <c r="L70" s="6">
        <v>4050.0</v>
      </c>
      <c r="M70" s="6">
        <v>0.0</v>
      </c>
      <c r="N70" s="6">
        <v>32400.0</v>
      </c>
      <c r="O70" s="6">
        <v>20250.0</v>
      </c>
      <c r="P70" s="6">
        <v>243000.0</v>
      </c>
      <c r="Q70" s="6">
        <v>63000.0</v>
      </c>
      <c r="R70" s="6">
        <v>0.0</v>
      </c>
      <c r="S70" s="6">
        <v>1800.0</v>
      </c>
      <c r="T70" s="6">
        <v>41.0</v>
      </c>
      <c r="U70" s="6">
        <v>4.1</v>
      </c>
      <c r="V70" s="6">
        <v>313.0</v>
      </c>
      <c r="W70" s="6">
        <v>4.0</v>
      </c>
      <c r="X70" s="6" t="s">
        <v>183</v>
      </c>
      <c r="Y70" s="6">
        <v>1.0</v>
      </c>
    </row>
    <row r="71">
      <c r="A71" s="8">
        <v>45975.0</v>
      </c>
      <c r="B71" s="6">
        <v>4.512345678004E12</v>
      </c>
      <c r="C71" s="6" t="s">
        <v>113</v>
      </c>
      <c r="D71" s="6" t="s">
        <v>114</v>
      </c>
      <c r="E71" s="6" t="s">
        <v>115</v>
      </c>
      <c r="F71" s="6">
        <v>682.0</v>
      </c>
      <c r="G71" s="6">
        <v>8.0</v>
      </c>
      <c r="H71" s="6">
        <v>8.0</v>
      </c>
      <c r="I71" s="6">
        <v>24000.0</v>
      </c>
      <c r="J71" s="6">
        <v>3000.0</v>
      </c>
      <c r="K71" s="6">
        <v>0.0</v>
      </c>
      <c r="L71" s="6">
        <v>240.0</v>
      </c>
      <c r="M71" s="6">
        <v>0.0</v>
      </c>
      <c r="N71" s="6">
        <v>1920.0</v>
      </c>
      <c r="O71" s="6">
        <v>3600.0</v>
      </c>
      <c r="P71" s="6">
        <v>14400.0</v>
      </c>
      <c r="Q71" s="6">
        <v>4000.0</v>
      </c>
      <c r="R71" s="6">
        <v>0.0</v>
      </c>
      <c r="S71" s="6">
        <v>600.0</v>
      </c>
      <c r="T71" s="6">
        <v>15.0</v>
      </c>
      <c r="U71" s="6">
        <v>4.9</v>
      </c>
      <c r="V71" s="6">
        <v>73.0</v>
      </c>
      <c r="W71" s="6">
        <v>16.0</v>
      </c>
      <c r="X71" s="6" t="s">
        <v>184</v>
      </c>
      <c r="Y71" s="6">
        <v>18.0</v>
      </c>
    </row>
    <row r="72">
      <c r="A72" s="8">
        <v>45975.0</v>
      </c>
      <c r="B72" s="6">
        <v>4.512345678005E12</v>
      </c>
      <c r="C72" s="6" t="s">
        <v>116</v>
      </c>
      <c r="D72" s="6" t="s">
        <v>117</v>
      </c>
      <c r="E72" s="6" t="s">
        <v>118</v>
      </c>
      <c r="F72" s="6">
        <v>44.0</v>
      </c>
      <c r="G72" s="6">
        <v>0.0</v>
      </c>
      <c r="H72" s="6">
        <v>0.0</v>
      </c>
      <c r="I72" s="6">
        <v>0.0</v>
      </c>
      <c r="J72" s="6">
        <v>4500.0</v>
      </c>
      <c r="K72" s="6">
        <v>0.0</v>
      </c>
      <c r="L72" s="6">
        <v>0.0</v>
      </c>
      <c r="M72" s="6">
        <v>0.0</v>
      </c>
      <c r="N72" s="6">
        <v>0.0</v>
      </c>
      <c r="O72" s="6">
        <v>500.0</v>
      </c>
      <c r="P72" s="6">
        <v>0.0</v>
      </c>
      <c r="Q72" s="6">
        <v>0.0</v>
      </c>
      <c r="R72" s="6">
        <v>0.0</v>
      </c>
      <c r="S72" s="6">
        <v>2000.0</v>
      </c>
      <c r="T72" s="6">
        <v>49.0</v>
      </c>
      <c r="U72" s="6">
        <v>4.2</v>
      </c>
      <c r="V72" s="6">
        <v>18.0</v>
      </c>
      <c r="W72" s="6">
        <v>34.0</v>
      </c>
      <c r="X72" s="6" t="s">
        <v>185</v>
      </c>
      <c r="Y72" s="6">
        <v>34.0</v>
      </c>
    </row>
    <row r="73">
      <c r="A73" s="8">
        <v>45976.0</v>
      </c>
      <c r="B73" s="6">
        <v>4.512345678001E12</v>
      </c>
      <c r="C73" s="6" t="s">
        <v>178</v>
      </c>
      <c r="D73" s="6" t="s">
        <v>179</v>
      </c>
      <c r="E73" s="6" t="s">
        <v>180</v>
      </c>
      <c r="F73" s="6">
        <v>1691.0</v>
      </c>
      <c r="G73" s="6">
        <v>65.0</v>
      </c>
      <c r="H73" s="6">
        <v>68.0</v>
      </c>
      <c r="I73" s="6">
        <v>340000.0</v>
      </c>
      <c r="J73" s="6">
        <v>5000.0</v>
      </c>
      <c r="K73" s="6">
        <v>0.0</v>
      </c>
      <c r="L73" s="6">
        <v>3400.0</v>
      </c>
      <c r="M73" s="6">
        <v>0.0</v>
      </c>
      <c r="N73" s="6">
        <v>27200.0</v>
      </c>
      <c r="O73" s="6">
        <v>34000.0</v>
      </c>
      <c r="P73" s="6">
        <v>204000.0</v>
      </c>
      <c r="Q73" s="6">
        <v>32500.0</v>
      </c>
      <c r="R73" s="6">
        <v>0.0</v>
      </c>
      <c r="S73" s="6">
        <v>2500.0</v>
      </c>
      <c r="T73" s="6">
        <v>188.0</v>
      </c>
      <c r="U73" s="6">
        <v>4.2</v>
      </c>
      <c r="V73" s="6">
        <v>164.0</v>
      </c>
      <c r="W73" s="6">
        <v>4.0</v>
      </c>
      <c r="X73" s="6" t="s">
        <v>181</v>
      </c>
      <c r="Y73" s="6">
        <v>1.0</v>
      </c>
    </row>
    <row r="74">
      <c r="A74" s="8">
        <v>45976.0</v>
      </c>
      <c r="B74" s="6">
        <v>4.512345678002E12</v>
      </c>
      <c r="C74" s="6" t="s">
        <v>106</v>
      </c>
      <c r="D74" s="6" t="s">
        <v>107</v>
      </c>
      <c r="E74" s="6" t="s">
        <v>108</v>
      </c>
      <c r="F74" s="6">
        <v>817.0</v>
      </c>
      <c r="G74" s="6">
        <v>13.0</v>
      </c>
      <c r="H74" s="6">
        <v>14.0</v>
      </c>
      <c r="I74" s="6">
        <v>42000.0</v>
      </c>
      <c r="J74" s="6">
        <v>3000.0</v>
      </c>
      <c r="K74" s="6">
        <v>0.0</v>
      </c>
      <c r="L74" s="6">
        <v>420.0</v>
      </c>
      <c r="M74" s="6">
        <v>0.0</v>
      </c>
      <c r="N74" s="6">
        <v>3360.0</v>
      </c>
      <c r="O74" s="6">
        <v>4200.0</v>
      </c>
      <c r="P74" s="6">
        <v>25200.0</v>
      </c>
      <c r="Q74" s="6">
        <v>6500.0</v>
      </c>
      <c r="R74" s="6">
        <v>0.0</v>
      </c>
      <c r="S74" s="6">
        <v>900.0</v>
      </c>
      <c r="T74" s="6">
        <v>494.0</v>
      </c>
      <c r="U74" s="6">
        <v>4.4</v>
      </c>
      <c r="V74" s="6">
        <v>94.0</v>
      </c>
      <c r="W74" s="6">
        <v>10.0</v>
      </c>
      <c r="X74" s="6" t="s">
        <v>182</v>
      </c>
      <c r="Y74" s="6">
        <v>11.0</v>
      </c>
    </row>
    <row r="75">
      <c r="A75" s="8">
        <v>45976.0</v>
      </c>
      <c r="B75" s="6">
        <v>4.512345678003E12</v>
      </c>
      <c r="C75" s="6" t="s">
        <v>110</v>
      </c>
      <c r="D75" s="6" t="s">
        <v>111</v>
      </c>
      <c r="E75" s="6" t="s">
        <v>112</v>
      </c>
      <c r="F75" s="6">
        <v>3800.0</v>
      </c>
      <c r="G75" s="6">
        <v>192.0</v>
      </c>
      <c r="H75" s="6">
        <v>199.0</v>
      </c>
      <c r="I75" s="6">
        <v>597000.0</v>
      </c>
      <c r="J75" s="6">
        <v>3000.0</v>
      </c>
      <c r="K75" s="6">
        <v>0.0</v>
      </c>
      <c r="L75" s="6">
        <v>5970.0</v>
      </c>
      <c r="M75" s="6">
        <v>19200.0</v>
      </c>
      <c r="N75" s="6">
        <v>47760.0</v>
      </c>
      <c r="O75" s="6">
        <v>29850.0</v>
      </c>
      <c r="P75" s="6">
        <v>358200.0</v>
      </c>
      <c r="Q75" s="6">
        <v>96000.0</v>
      </c>
      <c r="R75" s="6">
        <v>0.0</v>
      </c>
      <c r="S75" s="6">
        <v>1800.0</v>
      </c>
      <c r="T75" s="6">
        <v>342.0</v>
      </c>
      <c r="U75" s="6">
        <v>4.2</v>
      </c>
      <c r="V75" s="6">
        <v>314.0</v>
      </c>
      <c r="W75" s="6">
        <v>1.0</v>
      </c>
      <c r="X75" s="6" t="s">
        <v>183</v>
      </c>
      <c r="Y75" s="6">
        <v>1.0</v>
      </c>
    </row>
    <row r="76">
      <c r="A76" s="8">
        <v>45976.0</v>
      </c>
      <c r="B76" s="6">
        <v>4.512345678004E12</v>
      </c>
      <c r="C76" s="6" t="s">
        <v>113</v>
      </c>
      <c r="D76" s="6" t="s">
        <v>114</v>
      </c>
      <c r="E76" s="6" t="s">
        <v>115</v>
      </c>
      <c r="F76" s="6">
        <v>711.0</v>
      </c>
      <c r="G76" s="6">
        <v>9.0</v>
      </c>
      <c r="H76" s="6">
        <v>10.0</v>
      </c>
      <c r="I76" s="6">
        <v>30000.0</v>
      </c>
      <c r="J76" s="6">
        <v>3000.0</v>
      </c>
      <c r="K76" s="6">
        <v>0.0</v>
      </c>
      <c r="L76" s="6">
        <v>300.0</v>
      </c>
      <c r="M76" s="6">
        <v>0.0</v>
      </c>
      <c r="N76" s="6">
        <v>2400.0</v>
      </c>
      <c r="O76" s="6">
        <v>4500.0</v>
      </c>
      <c r="P76" s="6">
        <v>18000.0</v>
      </c>
      <c r="Q76" s="6">
        <v>4500.0</v>
      </c>
      <c r="R76" s="6">
        <v>0.0</v>
      </c>
      <c r="S76" s="6">
        <v>600.0</v>
      </c>
      <c r="T76" s="6">
        <v>5.0</v>
      </c>
      <c r="U76" s="6">
        <v>4.2</v>
      </c>
      <c r="V76" s="6">
        <v>74.0</v>
      </c>
      <c r="W76" s="6">
        <v>16.0</v>
      </c>
      <c r="X76" s="6" t="s">
        <v>184</v>
      </c>
      <c r="Y76" s="6">
        <v>14.0</v>
      </c>
    </row>
    <row r="77">
      <c r="A77" s="8">
        <v>45976.0</v>
      </c>
      <c r="B77" s="6">
        <v>4.512345678005E12</v>
      </c>
      <c r="C77" s="6" t="s">
        <v>116</v>
      </c>
      <c r="D77" s="6" t="s">
        <v>117</v>
      </c>
      <c r="E77" s="6" t="s">
        <v>118</v>
      </c>
      <c r="F77" s="6">
        <v>69.0</v>
      </c>
      <c r="G77" s="6">
        <v>0.0</v>
      </c>
      <c r="H77" s="6">
        <v>0.0</v>
      </c>
      <c r="I77" s="6">
        <v>0.0</v>
      </c>
      <c r="J77" s="6">
        <v>4500.0</v>
      </c>
      <c r="K77" s="6">
        <v>0.0</v>
      </c>
      <c r="L77" s="6">
        <v>0.0</v>
      </c>
      <c r="M77" s="6">
        <v>0.0</v>
      </c>
      <c r="N77" s="6">
        <v>0.0</v>
      </c>
      <c r="O77" s="6">
        <v>500.0</v>
      </c>
      <c r="P77" s="6">
        <v>0.0</v>
      </c>
      <c r="Q77" s="6">
        <v>0.0</v>
      </c>
      <c r="R77" s="6">
        <v>0.0</v>
      </c>
      <c r="S77" s="6">
        <v>2000.0</v>
      </c>
      <c r="T77" s="6">
        <v>49.0</v>
      </c>
      <c r="U77" s="6">
        <v>5.0</v>
      </c>
      <c r="V77" s="6">
        <v>19.0</v>
      </c>
      <c r="W77" s="6">
        <v>34.0</v>
      </c>
      <c r="X77" s="6" t="s">
        <v>185</v>
      </c>
      <c r="Y77" s="6">
        <v>32.0</v>
      </c>
    </row>
    <row r="78">
      <c r="A78" s="8">
        <v>45977.0</v>
      </c>
      <c r="B78" s="6">
        <v>4.512345678001E12</v>
      </c>
      <c r="C78" s="6" t="s">
        <v>178</v>
      </c>
      <c r="D78" s="6" t="s">
        <v>179</v>
      </c>
      <c r="E78" s="6" t="s">
        <v>180</v>
      </c>
      <c r="F78" s="6">
        <v>1635.0</v>
      </c>
      <c r="G78" s="6">
        <v>50.0</v>
      </c>
      <c r="H78" s="6">
        <v>57.0</v>
      </c>
      <c r="I78" s="6">
        <v>285000.0</v>
      </c>
      <c r="J78" s="6">
        <v>5000.0</v>
      </c>
      <c r="K78" s="6">
        <v>0.0</v>
      </c>
      <c r="L78" s="6">
        <v>2850.0</v>
      </c>
      <c r="M78" s="6">
        <v>0.0</v>
      </c>
      <c r="N78" s="6">
        <v>22800.0</v>
      </c>
      <c r="O78" s="6">
        <v>28500.0</v>
      </c>
      <c r="P78" s="6">
        <v>171000.0</v>
      </c>
      <c r="Q78" s="6">
        <v>25000.0</v>
      </c>
      <c r="R78" s="6">
        <v>0.0</v>
      </c>
      <c r="S78" s="6">
        <v>2500.0</v>
      </c>
      <c r="T78" s="6">
        <v>131.0</v>
      </c>
      <c r="U78" s="6">
        <v>4.4</v>
      </c>
      <c r="V78" s="6">
        <v>165.0</v>
      </c>
      <c r="W78" s="6">
        <v>2.0</v>
      </c>
      <c r="X78" s="6" t="s">
        <v>181</v>
      </c>
      <c r="Y78" s="6">
        <v>2.0</v>
      </c>
    </row>
    <row r="79">
      <c r="A79" s="8">
        <v>45977.0</v>
      </c>
      <c r="B79" s="6">
        <v>4.512345678002E12</v>
      </c>
      <c r="C79" s="6" t="s">
        <v>106</v>
      </c>
      <c r="D79" s="6" t="s">
        <v>107</v>
      </c>
      <c r="E79" s="6" t="s">
        <v>108</v>
      </c>
      <c r="F79" s="6">
        <v>1108.0</v>
      </c>
      <c r="G79" s="6">
        <v>26.0</v>
      </c>
      <c r="H79" s="6">
        <v>27.0</v>
      </c>
      <c r="I79" s="6">
        <v>81000.0</v>
      </c>
      <c r="J79" s="6">
        <v>3000.0</v>
      </c>
      <c r="K79" s="6">
        <v>0.0</v>
      </c>
      <c r="L79" s="6">
        <v>810.0</v>
      </c>
      <c r="M79" s="6">
        <v>0.0</v>
      </c>
      <c r="N79" s="6">
        <v>6480.0</v>
      </c>
      <c r="O79" s="6">
        <v>8100.0</v>
      </c>
      <c r="P79" s="6">
        <v>48600.0</v>
      </c>
      <c r="Q79" s="6">
        <v>13000.0</v>
      </c>
      <c r="R79" s="6">
        <v>0.0</v>
      </c>
      <c r="S79" s="6">
        <v>900.0</v>
      </c>
      <c r="T79" s="6">
        <v>467.0</v>
      </c>
      <c r="U79" s="6">
        <v>4.0</v>
      </c>
      <c r="V79" s="6">
        <v>95.0</v>
      </c>
      <c r="W79" s="6">
        <v>7.0</v>
      </c>
      <c r="X79" s="6" t="s">
        <v>182</v>
      </c>
      <c r="Y79" s="6">
        <v>10.0</v>
      </c>
    </row>
    <row r="80">
      <c r="A80" s="8">
        <v>45977.0</v>
      </c>
      <c r="B80" s="6">
        <v>4.512345678003E12</v>
      </c>
      <c r="C80" s="6" t="s">
        <v>110</v>
      </c>
      <c r="D80" s="6" t="s">
        <v>111</v>
      </c>
      <c r="E80" s="6" t="s">
        <v>112</v>
      </c>
      <c r="F80" s="6">
        <v>3035.0</v>
      </c>
      <c r="G80" s="6">
        <v>151.0</v>
      </c>
      <c r="H80" s="6">
        <v>174.0</v>
      </c>
      <c r="I80" s="6">
        <v>522000.0</v>
      </c>
      <c r="J80" s="6">
        <v>3000.0</v>
      </c>
      <c r="K80" s="6">
        <v>0.0</v>
      </c>
      <c r="L80" s="6">
        <v>5220.0</v>
      </c>
      <c r="M80" s="6">
        <v>15100.0</v>
      </c>
      <c r="N80" s="6">
        <v>41760.0</v>
      </c>
      <c r="O80" s="6">
        <v>26100.0</v>
      </c>
      <c r="P80" s="6">
        <v>313200.0</v>
      </c>
      <c r="Q80" s="6">
        <v>75500.0</v>
      </c>
      <c r="R80" s="6">
        <v>0.0</v>
      </c>
      <c r="S80" s="6">
        <v>1800.0</v>
      </c>
      <c r="T80" s="6">
        <v>168.0</v>
      </c>
      <c r="U80" s="6">
        <v>4.5</v>
      </c>
      <c r="V80" s="6">
        <v>315.0</v>
      </c>
      <c r="W80" s="6">
        <v>1.0</v>
      </c>
      <c r="X80" s="6" t="s">
        <v>183</v>
      </c>
      <c r="Y80" s="6">
        <v>1.0</v>
      </c>
    </row>
    <row r="81">
      <c r="A81" s="8">
        <v>45977.0</v>
      </c>
      <c r="B81" s="6">
        <v>4.512345678004E12</v>
      </c>
      <c r="C81" s="6" t="s">
        <v>113</v>
      </c>
      <c r="D81" s="6" t="s">
        <v>114</v>
      </c>
      <c r="E81" s="6" t="s">
        <v>115</v>
      </c>
      <c r="F81" s="6">
        <v>616.0</v>
      </c>
      <c r="G81" s="6">
        <v>17.0</v>
      </c>
      <c r="H81" s="6">
        <v>18.0</v>
      </c>
      <c r="I81" s="6">
        <v>54000.0</v>
      </c>
      <c r="J81" s="6">
        <v>3000.0</v>
      </c>
      <c r="K81" s="6">
        <v>0.0</v>
      </c>
      <c r="L81" s="6">
        <v>540.0</v>
      </c>
      <c r="M81" s="6">
        <v>0.0</v>
      </c>
      <c r="N81" s="6">
        <v>4320.0</v>
      </c>
      <c r="O81" s="6">
        <v>8100.0</v>
      </c>
      <c r="P81" s="6">
        <v>32400.0</v>
      </c>
      <c r="Q81" s="6">
        <v>8500.0</v>
      </c>
      <c r="R81" s="6">
        <v>0.0</v>
      </c>
      <c r="S81" s="6">
        <v>600.0</v>
      </c>
      <c r="T81" s="6">
        <v>487.0</v>
      </c>
      <c r="U81" s="6">
        <v>4.5</v>
      </c>
      <c r="V81" s="6">
        <v>75.0</v>
      </c>
      <c r="W81" s="6">
        <v>14.0</v>
      </c>
      <c r="X81" s="6" t="s">
        <v>184</v>
      </c>
      <c r="Y81" s="6">
        <v>12.0</v>
      </c>
    </row>
    <row r="82">
      <c r="A82" s="8">
        <v>45977.0</v>
      </c>
      <c r="B82" s="6">
        <v>4.512345678005E12</v>
      </c>
      <c r="C82" s="6" t="s">
        <v>116</v>
      </c>
      <c r="D82" s="6" t="s">
        <v>117</v>
      </c>
      <c r="E82" s="6" t="s">
        <v>118</v>
      </c>
      <c r="F82" s="6">
        <v>57.0</v>
      </c>
      <c r="G82" s="6">
        <v>0.0</v>
      </c>
      <c r="H82" s="6">
        <v>0.0</v>
      </c>
      <c r="I82" s="6">
        <v>0.0</v>
      </c>
      <c r="J82" s="6">
        <v>4500.0</v>
      </c>
      <c r="K82" s="6">
        <v>0.0</v>
      </c>
      <c r="L82" s="6">
        <v>0.0</v>
      </c>
      <c r="M82" s="6">
        <v>0.0</v>
      </c>
      <c r="N82" s="6">
        <v>0.0</v>
      </c>
      <c r="O82" s="6">
        <v>500.0</v>
      </c>
      <c r="P82" s="6">
        <v>0.0</v>
      </c>
      <c r="Q82" s="6">
        <v>0.0</v>
      </c>
      <c r="R82" s="6">
        <v>0.0</v>
      </c>
      <c r="S82" s="6">
        <v>2000.0</v>
      </c>
      <c r="T82" s="6">
        <v>49.0</v>
      </c>
      <c r="U82" s="6">
        <v>4.6</v>
      </c>
      <c r="V82" s="6">
        <v>20.0</v>
      </c>
      <c r="W82" s="6">
        <v>34.0</v>
      </c>
      <c r="X82" s="6" t="s">
        <v>185</v>
      </c>
      <c r="Y82" s="6">
        <v>34.0</v>
      </c>
    </row>
    <row r="83">
      <c r="A83" s="8">
        <v>45978.0</v>
      </c>
      <c r="B83" s="6">
        <v>4.512345678001E12</v>
      </c>
      <c r="C83" s="6" t="s">
        <v>178</v>
      </c>
      <c r="D83" s="6" t="s">
        <v>179</v>
      </c>
      <c r="E83" s="6" t="s">
        <v>180</v>
      </c>
      <c r="F83" s="6">
        <v>1588.0</v>
      </c>
      <c r="G83" s="6">
        <v>50.0</v>
      </c>
      <c r="H83" s="6">
        <v>54.0</v>
      </c>
      <c r="I83" s="6">
        <v>270000.0</v>
      </c>
      <c r="J83" s="6">
        <v>5000.0</v>
      </c>
      <c r="K83" s="6">
        <v>0.0</v>
      </c>
      <c r="L83" s="6">
        <v>2700.0</v>
      </c>
      <c r="M83" s="6">
        <v>0.0</v>
      </c>
      <c r="N83" s="6">
        <v>21600.0</v>
      </c>
      <c r="O83" s="6">
        <v>27000.0</v>
      </c>
      <c r="P83" s="6">
        <v>162000.0</v>
      </c>
      <c r="Q83" s="6">
        <v>25000.0</v>
      </c>
      <c r="R83" s="6">
        <v>0.0</v>
      </c>
      <c r="S83" s="6">
        <v>2500.0</v>
      </c>
      <c r="T83" s="6">
        <v>77.0</v>
      </c>
      <c r="U83" s="6">
        <v>4.4</v>
      </c>
      <c r="V83" s="6">
        <v>166.0</v>
      </c>
      <c r="W83" s="6">
        <v>6.0</v>
      </c>
      <c r="X83" s="6" t="s">
        <v>181</v>
      </c>
      <c r="Y83" s="6">
        <v>2.0</v>
      </c>
    </row>
    <row r="84">
      <c r="A84" s="8">
        <v>45978.0</v>
      </c>
      <c r="B84" s="6">
        <v>4.512345678002E12</v>
      </c>
      <c r="C84" s="6" t="s">
        <v>106</v>
      </c>
      <c r="D84" s="6" t="s">
        <v>107</v>
      </c>
      <c r="E84" s="6" t="s">
        <v>108</v>
      </c>
      <c r="F84" s="6">
        <v>849.0</v>
      </c>
      <c r="G84" s="6">
        <v>16.0</v>
      </c>
      <c r="H84" s="6">
        <v>17.0</v>
      </c>
      <c r="I84" s="6">
        <v>51000.0</v>
      </c>
      <c r="J84" s="6">
        <v>3000.0</v>
      </c>
      <c r="K84" s="6">
        <v>0.0</v>
      </c>
      <c r="L84" s="6">
        <v>510.0</v>
      </c>
      <c r="M84" s="6">
        <v>0.0</v>
      </c>
      <c r="N84" s="6">
        <v>4080.0</v>
      </c>
      <c r="O84" s="6">
        <v>5100.0</v>
      </c>
      <c r="P84" s="6">
        <v>30600.0</v>
      </c>
      <c r="Q84" s="6">
        <v>8000.0</v>
      </c>
      <c r="R84" s="6">
        <v>0.0</v>
      </c>
      <c r="S84" s="6">
        <v>900.0</v>
      </c>
      <c r="T84" s="6">
        <v>450.0</v>
      </c>
      <c r="U84" s="6">
        <v>4.3</v>
      </c>
      <c r="V84" s="6">
        <v>96.0</v>
      </c>
      <c r="W84" s="6">
        <v>10.0</v>
      </c>
      <c r="X84" s="6" t="s">
        <v>182</v>
      </c>
      <c r="Y84" s="6">
        <v>14.0</v>
      </c>
    </row>
    <row r="85">
      <c r="A85" s="8">
        <v>45978.0</v>
      </c>
      <c r="B85" s="6">
        <v>4.512345678003E12</v>
      </c>
      <c r="C85" s="6" t="s">
        <v>110</v>
      </c>
      <c r="D85" s="6" t="s">
        <v>111</v>
      </c>
      <c r="E85" s="6" t="s">
        <v>112</v>
      </c>
      <c r="F85" s="6">
        <v>2661.0</v>
      </c>
      <c r="G85" s="6">
        <v>128.0</v>
      </c>
      <c r="H85" s="6">
        <v>140.0</v>
      </c>
      <c r="I85" s="6">
        <v>420000.0</v>
      </c>
      <c r="J85" s="6">
        <v>3000.0</v>
      </c>
      <c r="K85" s="6">
        <v>0.0</v>
      </c>
      <c r="L85" s="6">
        <v>4200.0</v>
      </c>
      <c r="M85" s="6">
        <v>0.0</v>
      </c>
      <c r="N85" s="6">
        <v>33600.0</v>
      </c>
      <c r="O85" s="6">
        <v>21000.0</v>
      </c>
      <c r="P85" s="6">
        <v>252000.0</v>
      </c>
      <c r="Q85" s="6">
        <v>64000.0</v>
      </c>
      <c r="R85" s="6">
        <v>0.0</v>
      </c>
      <c r="S85" s="6">
        <v>1800.0</v>
      </c>
      <c r="T85" s="6">
        <v>28.0</v>
      </c>
      <c r="U85" s="6">
        <v>3.7</v>
      </c>
      <c r="V85" s="6">
        <v>316.0</v>
      </c>
      <c r="W85" s="6">
        <v>1.0</v>
      </c>
      <c r="X85" s="6" t="s">
        <v>183</v>
      </c>
      <c r="Y85" s="6">
        <v>2.0</v>
      </c>
    </row>
    <row r="86">
      <c r="A86" s="8">
        <v>45978.0</v>
      </c>
      <c r="B86" s="6">
        <v>4.512345678004E12</v>
      </c>
      <c r="C86" s="6" t="s">
        <v>113</v>
      </c>
      <c r="D86" s="6" t="s">
        <v>114</v>
      </c>
      <c r="E86" s="6" t="s">
        <v>115</v>
      </c>
      <c r="F86" s="6">
        <v>691.0</v>
      </c>
      <c r="G86" s="6">
        <v>13.0</v>
      </c>
      <c r="H86" s="6">
        <v>14.0</v>
      </c>
      <c r="I86" s="6">
        <v>42000.0</v>
      </c>
      <c r="J86" s="6">
        <v>3000.0</v>
      </c>
      <c r="K86" s="6">
        <v>0.0</v>
      </c>
      <c r="L86" s="6">
        <v>420.0</v>
      </c>
      <c r="M86" s="6">
        <v>0.0</v>
      </c>
      <c r="N86" s="6">
        <v>3360.0</v>
      </c>
      <c r="O86" s="6">
        <v>6300.0</v>
      </c>
      <c r="P86" s="6">
        <v>25200.0</v>
      </c>
      <c r="Q86" s="6">
        <v>6500.0</v>
      </c>
      <c r="R86" s="6">
        <v>0.0</v>
      </c>
      <c r="S86" s="6">
        <v>600.0</v>
      </c>
      <c r="T86" s="6">
        <v>473.0</v>
      </c>
      <c r="U86" s="6">
        <v>4.4</v>
      </c>
      <c r="V86" s="6">
        <v>76.0</v>
      </c>
      <c r="W86" s="6">
        <v>15.0</v>
      </c>
      <c r="X86" s="6" t="s">
        <v>184</v>
      </c>
      <c r="Y86" s="6">
        <v>9.0</v>
      </c>
    </row>
    <row r="87">
      <c r="A87" s="8">
        <v>45978.0</v>
      </c>
      <c r="B87" s="6">
        <v>4.512345678005E12</v>
      </c>
      <c r="C87" s="6" t="s">
        <v>116</v>
      </c>
      <c r="D87" s="6" t="s">
        <v>117</v>
      </c>
      <c r="E87" s="6" t="s">
        <v>118</v>
      </c>
      <c r="F87" s="6">
        <v>42.0</v>
      </c>
      <c r="G87" s="6">
        <v>0.0</v>
      </c>
      <c r="H87" s="6">
        <v>0.0</v>
      </c>
      <c r="I87" s="6">
        <v>0.0</v>
      </c>
      <c r="J87" s="6">
        <v>4500.0</v>
      </c>
      <c r="K87" s="6">
        <v>0.0</v>
      </c>
      <c r="L87" s="6">
        <v>0.0</v>
      </c>
      <c r="M87" s="6">
        <v>0.0</v>
      </c>
      <c r="N87" s="6">
        <v>0.0</v>
      </c>
      <c r="O87" s="6">
        <v>500.0</v>
      </c>
      <c r="P87" s="6">
        <v>0.0</v>
      </c>
      <c r="Q87" s="6">
        <v>0.0</v>
      </c>
      <c r="R87" s="6">
        <v>0.0</v>
      </c>
      <c r="S87" s="6">
        <v>2000.0</v>
      </c>
      <c r="T87" s="6">
        <v>49.0</v>
      </c>
      <c r="U87" s="6">
        <v>3.8</v>
      </c>
      <c r="V87" s="6">
        <v>21.0</v>
      </c>
      <c r="W87" s="6">
        <v>36.0</v>
      </c>
      <c r="X87" s="6" t="s">
        <v>185</v>
      </c>
      <c r="Y87" s="6">
        <v>37.0</v>
      </c>
    </row>
    <row r="88">
      <c r="A88" s="8">
        <v>45979.0</v>
      </c>
      <c r="B88" s="6">
        <v>4.512345678001E12</v>
      </c>
      <c r="C88" s="6" t="s">
        <v>178</v>
      </c>
      <c r="D88" s="6" t="s">
        <v>179</v>
      </c>
      <c r="E88" s="6" t="s">
        <v>180</v>
      </c>
      <c r="F88" s="6">
        <v>1437.0</v>
      </c>
      <c r="G88" s="6">
        <v>44.0</v>
      </c>
      <c r="H88" s="6">
        <v>48.0</v>
      </c>
      <c r="I88" s="6">
        <v>240000.0</v>
      </c>
      <c r="J88" s="6">
        <v>5000.0</v>
      </c>
      <c r="K88" s="6">
        <v>0.0</v>
      </c>
      <c r="L88" s="6">
        <v>2400.0</v>
      </c>
      <c r="M88" s="6">
        <v>0.0</v>
      </c>
      <c r="N88" s="6">
        <v>19200.0</v>
      </c>
      <c r="O88" s="6">
        <v>24000.0</v>
      </c>
      <c r="P88" s="6">
        <v>144000.0</v>
      </c>
      <c r="Q88" s="6">
        <v>22000.0</v>
      </c>
      <c r="R88" s="6">
        <v>0.0</v>
      </c>
      <c r="S88" s="6">
        <v>2500.0</v>
      </c>
      <c r="T88" s="6">
        <v>29.0</v>
      </c>
      <c r="U88" s="6">
        <v>3.8</v>
      </c>
      <c r="V88" s="6">
        <v>167.0</v>
      </c>
      <c r="W88" s="6">
        <v>2.0</v>
      </c>
      <c r="X88" s="6" t="s">
        <v>181</v>
      </c>
      <c r="Y88" s="6">
        <v>2.0</v>
      </c>
    </row>
    <row r="89">
      <c r="A89" s="8">
        <v>45979.0</v>
      </c>
      <c r="B89" s="6">
        <v>4.512345678002E12</v>
      </c>
      <c r="C89" s="6" t="s">
        <v>106</v>
      </c>
      <c r="D89" s="6" t="s">
        <v>107</v>
      </c>
      <c r="E89" s="6" t="s">
        <v>108</v>
      </c>
      <c r="F89" s="6">
        <v>700.0</v>
      </c>
      <c r="G89" s="6">
        <v>11.0</v>
      </c>
      <c r="H89" s="6">
        <v>12.0</v>
      </c>
      <c r="I89" s="6">
        <v>36000.0</v>
      </c>
      <c r="J89" s="6">
        <v>3000.0</v>
      </c>
      <c r="K89" s="6">
        <v>0.0</v>
      </c>
      <c r="L89" s="6">
        <v>360.0</v>
      </c>
      <c r="M89" s="6">
        <v>0.0</v>
      </c>
      <c r="N89" s="6">
        <v>2880.0</v>
      </c>
      <c r="O89" s="6">
        <v>3600.0</v>
      </c>
      <c r="P89" s="6">
        <v>21600.0</v>
      </c>
      <c r="Q89" s="6">
        <v>5500.0</v>
      </c>
      <c r="R89" s="6">
        <v>0.0</v>
      </c>
      <c r="S89" s="6">
        <v>900.0</v>
      </c>
      <c r="T89" s="6">
        <v>438.0</v>
      </c>
      <c r="U89" s="6">
        <v>4.4</v>
      </c>
      <c r="V89" s="6">
        <v>97.0</v>
      </c>
      <c r="W89" s="6">
        <v>9.0</v>
      </c>
      <c r="X89" s="6" t="s">
        <v>182</v>
      </c>
      <c r="Y89" s="6">
        <v>12.0</v>
      </c>
    </row>
    <row r="90">
      <c r="A90" s="8">
        <v>45979.0</v>
      </c>
      <c r="B90" s="6">
        <v>4.512345678003E12</v>
      </c>
      <c r="C90" s="6" t="s">
        <v>110</v>
      </c>
      <c r="D90" s="6" t="s">
        <v>111</v>
      </c>
      <c r="E90" s="6" t="s">
        <v>112</v>
      </c>
      <c r="F90" s="6">
        <v>3550.0</v>
      </c>
      <c r="G90" s="6">
        <v>180.0</v>
      </c>
      <c r="H90" s="6">
        <v>197.0</v>
      </c>
      <c r="I90" s="6">
        <v>591000.0</v>
      </c>
      <c r="J90" s="6">
        <v>3000.0</v>
      </c>
      <c r="K90" s="6">
        <v>0.0</v>
      </c>
      <c r="L90" s="6">
        <v>5910.0</v>
      </c>
      <c r="M90" s="6">
        <v>0.0</v>
      </c>
      <c r="N90" s="6">
        <v>47280.0</v>
      </c>
      <c r="O90" s="6">
        <v>29550.0</v>
      </c>
      <c r="P90" s="6">
        <v>354600.0</v>
      </c>
      <c r="Q90" s="6">
        <v>90000.0</v>
      </c>
      <c r="R90" s="6">
        <v>0.0</v>
      </c>
      <c r="S90" s="6">
        <v>1800.0</v>
      </c>
      <c r="T90" s="6">
        <v>331.0</v>
      </c>
      <c r="U90" s="6">
        <v>3.9</v>
      </c>
      <c r="V90" s="6">
        <v>317.0</v>
      </c>
      <c r="W90" s="6">
        <v>3.0</v>
      </c>
      <c r="X90" s="6" t="s">
        <v>183</v>
      </c>
      <c r="Y90" s="6">
        <v>3.0</v>
      </c>
    </row>
    <row r="91">
      <c r="A91" s="8">
        <v>45979.0</v>
      </c>
      <c r="B91" s="6">
        <v>4.512345678004E12</v>
      </c>
      <c r="C91" s="6" t="s">
        <v>113</v>
      </c>
      <c r="D91" s="6" t="s">
        <v>114</v>
      </c>
      <c r="E91" s="6" t="s">
        <v>115</v>
      </c>
      <c r="F91" s="6">
        <v>698.0</v>
      </c>
      <c r="G91" s="6">
        <v>6.0</v>
      </c>
      <c r="H91" s="6">
        <v>7.0</v>
      </c>
      <c r="I91" s="6">
        <v>21000.0</v>
      </c>
      <c r="J91" s="6">
        <v>3000.0</v>
      </c>
      <c r="K91" s="6">
        <v>0.0</v>
      </c>
      <c r="L91" s="6">
        <v>210.0</v>
      </c>
      <c r="M91" s="6">
        <v>0.0</v>
      </c>
      <c r="N91" s="6">
        <v>1680.0</v>
      </c>
      <c r="O91" s="6">
        <v>3150.0</v>
      </c>
      <c r="P91" s="6">
        <v>12600.0</v>
      </c>
      <c r="Q91" s="6">
        <v>3000.0</v>
      </c>
      <c r="R91" s="6">
        <v>0.0</v>
      </c>
      <c r="S91" s="6">
        <v>600.0</v>
      </c>
      <c r="T91" s="6">
        <v>466.0</v>
      </c>
      <c r="U91" s="6">
        <v>4.5</v>
      </c>
      <c r="V91" s="6">
        <v>77.0</v>
      </c>
      <c r="W91" s="6">
        <v>18.0</v>
      </c>
      <c r="X91" s="6" t="s">
        <v>184</v>
      </c>
      <c r="Y91" s="6">
        <v>16.0</v>
      </c>
    </row>
    <row r="92">
      <c r="A92" s="8">
        <v>45979.0</v>
      </c>
      <c r="B92" s="6">
        <v>4.512345678005E12</v>
      </c>
      <c r="C92" s="6" t="s">
        <v>116</v>
      </c>
      <c r="D92" s="6" t="s">
        <v>117</v>
      </c>
      <c r="E92" s="6" t="s">
        <v>118</v>
      </c>
      <c r="F92" s="6">
        <v>59.0</v>
      </c>
      <c r="G92" s="6">
        <v>1.0</v>
      </c>
      <c r="H92" s="6">
        <v>1.0</v>
      </c>
      <c r="I92" s="6">
        <v>4500.0</v>
      </c>
      <c r="J92" s="6">
        <v>4500.0</v>
      </c>
      <c r="K92" s="6">
        <v>0.0</v>
      </c>
      <c r="L92" s="6">
        <v>45.0</v>
      </c>
      <c r="M92" s="6">
        <v>0.0</v>
      </c>
      <c r="N92" s="6">
        <v>360.0</v>
      </c>
      <c r="O92" s="6">
        <v>0.0</v>
      </c>
      <c r="P92" s="6">
        <v>2700.0</v>
      </c>
      <c r="Q92" s="6">
        <v>500.0</v>
      </c>
      <c r="R92" s="6">
        <v>0.0</v>
      </c>
      <c r="S92" s="6">
        <v>2000.0</v>
      </c>
      <c r="T92" s="6">
        <v>48.0</v>
      </c>
      <c r="U92" s="6">
        <v>4.5</v>
      </c>
      <c r="V92" s="6">
        <v>22.0</v>
      </c>
      <c r="W92" s="6">
        <v>34.0</v>
      </c>
      <c r="X92" s="6" t="s">
        <v>185</v>
      </c>
      <c r="Y92" s="6">
        <v>35.0</v>
      </c>
    </row>
    <row r="93">
      <c r="A93" s="8">
        <v>45980.0</v>
      </c>
      <c r="B93" s="6">
        <v>4.512345678001E12</v>
      </c>
      <c r="C93" s="6" t="s">
        <v>178</v>
      </c>
      <c r="D93" s="6" t="s">
        <v>179</v>
      </c>
      <c r="E93" s="6" t="s">
        <v>180</v>
      </c>
      <c r="F93" s="6">
        <v>1569.0</v>
      </c>
      <c r="G93" s="6">
        <v>56.0</v>
      </c>
      <c r="H93" s="6">
        <v>59.0</v>
      </c>
      <c r="I93" s="6">
        <v>295000.0</v>
      </c>
      <c r="J93" s="6">
        <v>5000.0</v>
      </c>
      <c r="K93" s="6">
        <v>0.0</v>
      </c>
      <c r="L93" s="6">
        <v>2950.0</v>
      </c>
      <c r="M93" s="6">
        <v>0.0</v>
      </c>
      <c r="N93" s="6">
        <v>23600.0</v>
      </c>
      <c r="O93" s="6">
        <v>29500.0</v>
      </c>
      <c r="P93" s="6">
        <v>177000.0</v>
      </c>
      <c r="Q93" s="6">
        <v>28000.0</v>
      </c>
      <c r="R93" s="6">
        <v>0.0</v>
      </c>
      <c r="S93" s="6">
        <v>2500.0</v>
      </c>
      <c r="T93" s="6">
        <v>470.0</v>
      </c>
      <c r="U93" s="6">
        <v>4.6</v>
      </c>
      <c r="V93" s="6">
        <v>168.0</v>
      </c>
      <c r="W93" s="6">
        <v>2.0</v>
      </c>
      <c r="X93" s="6" t="s">
        <v>181</v>
      </c>
      <c r="Y93" s="6">
        <v>1.0</v>
      </c>
    </row>
    <row r="94">
      <c r="A94" s="8">
        <v>45980.0</v>
      </c>
      <c r="B94" s="6">
        <v>4.512345678002E12</v>
      </c>
      <c r="C94" s="6" t="s">
        <v>106</v>
      </c>
      <c r="D94" s="6" t="s">
        <v>107</v>
      </c>
      <c r="E94" s="6" t="s">
        <v>108</v>
      </c>
      <c r="F94" s="6">
        <v>835.0</v>
      </c>
      <c r="G94" s="6">
        <v>19.0</v>
      </c>
      <c r="H94" s="6">
        <v>21.0</v>
      </c>
      <c r="I94" s="6">
        <v>63000.0</v>
      </c>
      <c r="J94" s="6">
        <v>3000.0</v>
      </c>
      <c r="K94" s="6">
        <v>0.0</v>
      </c>
      <c r="L94" s="6">
        <v>630.0</v>
      </c>
      <c r="M94" s="6">
        <v>0.0</v>
      </c>
      <c r="N94" s="6">
        <v>5040.0</v>
      </c>
      <c r="O94" s="6">
        <v>6300.0</v>
      </c>
      <c r="P94" s="6">
        <v>37800.0</v>
      </c>
      <c r="Q94" s="6">
        <v>9500.0</v>
      </c>
      <c r="R94" s="6">
        <v>0.0</v>
      </c>
      <c r="S94" s="6">
        <v>900.0</v>
      </c>
      <c r="T94" s="6">
        <v>417.0</v>
      </c>
      <c r="U94" s="6">
        <v>4.5</v>
      </c>
      <c r="V94" s="6">
        <v>98.0</v>
      </c>
      <c r="W94" s="6">
        <v>9.0</v>
      </c>
      <c r="X94" s="6" t="s">
        <v>182</v>
      </c>
      <c r="Y94" s="6">
        <v>16.0</v>
      </c>
    </row>
    <row r="95">
      <c r="A95" s="8">
        <v>45980.0</v>
      </c>
      <c r="B95" s="6">
        <v>4.512345678003E12</v>
      </c>
      <c r="C95" s="6" t="s">
        <v>110</v>
      </c>
      <c r="D95" s="6" t="s">
        <v>111</v>
      </c>
      <c r="E95" s="6" t="s">
        <v>112</v>
      </c>
      <c r="F95" s="6">
        <v>2772.0</v>
      </c>
      <c r="G95" s="6">
        <v>122.0</v>
      </c>
      <c r="H95" s="6">
        <v>139.0</v>
      </c>
      <c r="I95" s="6">
        <v>417000.0</v>
      </c>
      <c r="J95" s="6">
        <v>3000.0</v>
      </c>
      <c r="K95" s="6">
        <v>0.0</v>
      </c>
      <c r="L95" s="6">
        <v>4170.0</v>
      </c>
      <c r="M95" s="6">
        <v>12200.0</v>
      </c>
      <c r="N95" s="6">
        <v>33360.0</v>
      </c>
      <c r="O95" s="6">
        <v>20850.0</v>
      </c>
      <c r="P95" s="6">
        <v>250200.0</v>
      </c>
      <c r="Q95" s="6">
        <v>61000.0</v>
      </c>
      <c r="R95" s="6">
        <v>0.0</v>
      </c>
      <c r="S95" s="6">
        <v>1800.0</v>
      </c>
      <c r="T95" s="6">
        <v>192.0</v>
      </c>
      <c r="U95" s="6">
        <v>3.8</v>
      </c>
      <c r="V95" s="6">
        <v>318.0</v>
      </c>
      <c r="W95" s="6">
        <v>1.0</v>
      </c>
      <c r="X95" s="6" t="s">
        <v>183</v>
      </c>
      <c r="Y95" s="6">
        <v>1.0</v>
      </c>
    </row>
    <row r="96">
      <c r="A96" s="8">
        <v>45980.0</v>
      </c>
      <c r="B96" s="6">
        <v>4.512345678004E12</v>
      </c>
      <c r="C96" s="6" t="s">
        <v>113</v>
      </c>
      <c r="D96" s="6" t="s">
        <v>114</v>
      </c>
      <c r="E96" s="6" t="s">
        <v>115</v>
      </c>
      <c r="F96" s="6">
        <v>643.0</v>
      </c>
      <c r="G96" s="6">
        <v>4.0</v>
      </c>
      <c r="H96" s="6">
        <v>4.0</v>
      </c>
      <c r="I96" s="6">
        <v>12000.0</v>
      </c>
      <c r="J96" s="6">
        <v>3000.0</v>
      </c>
      <c r="K96" s="6">
        <v>0.0</v>
      </c>
      <c r="L96" s="6">
        <v>120.0</v>
      </c>
      <c r="M96" s="6">
        <v>0.0</v>
      </c>
      <c r="N96" s="6">
        <v>960.0</v>
      </c>
      <c r="O96" s="6">
        <v>1800.0</v>
      </c>
      <c r="P96" s="6">
        <v>7200.0</v>
      </c>
      <c r="Q96" s="6">
        <v>2000.0</v>
      </c>
      <c r="R96" s="6">
        <v>0.0</v>
      </c>
      <c r="S96" s="6">
        <v>600.0</v>
      </c>
      <c r="T96" s="6">
        <v>462.0</v>
      </c>
      <c r="U96" s="6">
        <v>4.3</v>
      </c>
      <c r="V96" s="6">
        <v>78.0</v>
      </c>
      <c r="W96" s="6">
        <v>16.0</v>
      </c>
      <c r="X96" s="6" t="s">
        <v>184</v>
      </c>
      <c r="Y96" s="6">
        <v>13.0</v>
      </c>
    </row>
    <row r="97">
      <c r="A97" s="8">
        <v>45980.0</v>
      </c>
      <c r="B97" s="6">
        <v>4.512345678005E12</v>
      </c>
      <c r="C97" s="6" t="s">
        <v>116</v>
      </c>
      <c r="D97" s="6" t="s">
        <v>117</v>
      </c>
      <c r="E97" s="6" t="s">
        <v>118</v>
      </c>
      <c r="F97" s="6">
        <v>44.0</v>
      </c>
      <c r="G97" s="6">
        <v>0.0</v>
      </c>
      <c r="H97" s="6">
        <v>0.0</v>
      </c>
      <c r="I97" s="6">
        <v>0.0</v>
      </c>
      <c r="J97" s="6">
        <v>4500.0</v>
      </c>
      <c r="K97" s="6">
        <v>0.0</v>
      </c>
      <c r="L97" s="6">
        <v>0.0</v>
      </c>
      <c r="M97" s="6">
        <v>0.0</v>
      </c>
      <c r="N97" s="6">
        <v>0.0</v>
      </c>
      <c r="O97" s="6">
        <v>500.0</v>
      </c>
      <c r="P97" s="6">
        <v>0.0</v>
      </c>
      <c r="Q97" s="6">
        <v>0.0</v>
      </c>
      <c r="R97" s="6">
        <v>0.0</v>
      </c>
      <c r="S97" s="6">
        <v>2000.0</v>
      </c>
      <c r="T97" s="6">
        <v>48.0</v>
      </c>
      <c r="U97" s="6">
        <v>4.3</v>
      </c>
      <c r="V97" s="6">
        <v>23.0</v>
      </c>
      <c r="W97" s="6">
        <v>34.0</v>
      </c>
      <c r="X97" s="6" t="s">
        <v>185</v>
      </c>
      <c r="Y97" s="6">
        <v>38.0</v>
      </c>
    </row>
    <row r="98">
      <c r="A98" s="8">
        <v>45981.0</v>
      </c>
      <c r="B98" s="6">
        <v>4.512345678001E12</v>
      </c>
      <c r="C98" s="6" t="s">
        <v>178</v>
      </c>
      <c r="D98" s="6" t="s">
        <v>179</v>
      </c>
      <c r="E98" s="6" t="s">
        <v>180</v>
      </c>
      <c r="F98" s="6">
        <v>1542.0</v>
      </c>
      <c r="G98" s="6">
        <v>42.0</v>
      </c>
      <c r="H98" s="6">
        <v>43.0</v>
      </c>
      <c r="I98" s="6">
        <v>215000.0</v>
      </c>
      <c r="J98" s="6">
        <v>5000.0</v>
      </c>
      <c r="K98" s="6">
        <v>0.0</v>
      </c>
      <c r="L98" s="6">
        <v>2150.0</v>
      </c>
      <c r="M98" s="6">
        <v>0.0</v>
      </c>
      <c r="N98" s="6">
        <v>17200.0</v>
      </c>
      <c r="O98" s="6">
        <v>21500.0</v>
      </c>
      <c r="P98" s="6">
        <v>129000.0</v>
      </c>
      <c r="Q98" s="6">
        <v>21000.0</v>
      </c>
      <c r="R98" s="6">
        <v>0.0</v>
      </c>
      <c r="S98" s="6">
        <v>2500.0</v>
      </c>
      <c r="T98" s="6">
        <v>427.0</v>
      </c>
      <c r="U98" s="6">
        <v>4.0</v>
      </c>
      <c r="V98" s="6">
        <v>169.0</v>
      </c>
      <c r="W98" s="6">
        <v>2.0</v>
      </c>
      <c r="X98" s="6" t="s">
        <v>181</v>
      </c>
      <c r="Y98" s="6">
        <v>1.0</v>
      </c>
    </row>
    <row r="99">
      <c r="A99" s="8">
        <v>45981.0</v>
      </c>
      <c r="B99" s="6">
        <v>4.512345678002E12</v>
      </c>
      <c r="C99" s="6" t="s">
        <v>106</v>
      </c>
      <c r="D99" s="6" t="s">
        <v>107</v>
      </c>
      <c r="E99" s="6" t="s">
        <v>108</v>
      </c>
      <c r="F99" s="6">
        <v>870.0</v>
      </c>
      <c r="G99" s="6">
        <v>16.0</v>
      </c>
      <c r="H99" s="6">
        <v>18.0</v>
      </c>
      <c r="I99" s="6">
        <v>54000.0</v>
      </c>
      <c r="J99" s="6">
        <v>3000.0</v>
      </c>
      <c r="K99" s="6">
        <v>0.0</v>
      </c>
      <c r="L99" s="6">
        <v>540.0</v>
      </c>
      <c r="M99" s="6">
        <v>1600.0</v>
      </c>
      <c r="N99" s="6">
        <v>4320.0</v>
      </c>
      <c r="O99" s="6">
        <v>5400.0</v>
      </c>
      <c r="P99" s="6">
        <v>32400.0</v>
      </c>
      <c r="Q99" s="6">
        <v>8000.0</v>
      </c>
      <c r="R99" s="6">
        <v>0.0</v>
      </c>
      <c r="S99" s="6">
        <v>900.0</v>
      </c>
      <c r="T99" s="6">
        <v>399.0</v>
      </c>
      <c r="U99" s="6">
        <v>4.4</v>
      </c>
      <c r="V99" s="6">
        <v>99.0</v>
      </c>
      <c r="W99" s="6">
        <v>12.0</v>
      </c>
      <c r="X99" s="6" t="s">
        <v>182</v>
      </c>
      <c r="Y99" s="6">
        <v>16.0</v>
      </c>
    </row>
    <row r="100">
      <c r="A100" s="8">
        <v>45981.0</v>
      </c>
      <c r="B100" s="6">
        <v>4.512345678003E12</v>
      </c>
      <c r="C100" s="6" t="s">
        <v>110</v>
      </c>
      <c r="D100" s="6" t="s">
        <v>111</v>
      </c>
      <c r="E100" s="6" t="s">
        <v>112</v>
      </c>
      <c r="F100" s="6">
        <v>3433.0</v>
      </c>
      <c r="G100" s="6">
        <v>165.0</v>
      </c>
      <c r="H100" s="6">
        <v>183.0</v>
      </c>
      <c r="I100" s="6">
        <v>549000.0</v>
      </c>
      <c r="J100" s="6">
        <v>3000.0</v>
      </c>
      <c r="K100" s="6">
        <v>0.0</v>
      </c>
      <c r="L100" s="6">
        <v>5490.0</v>
      </c>
      <c r="M100" s="6">
        <v>0.0</v>
      </c>
      <c r="N100" s="6">
        <v>43920.0</v>
      </c>
      <c r="O100" s="6">
        <v>27450.0</v>
      </c>
      <c r="P100" s="6">
        <v>329400.0</v>
      </c>
      <c r="Q100" s="6">
        <v>82500.0</v>
      </c>
      <c r="R100" s="6">
        <v>0.0</v>
      </c>
      <c r="S100" s="6">
        <v>1800.0</v>
      </c>
      <c r="T100" s="6">
        <v>9.0</v>
      </c>
      <c r="U100" s="6">
        <v>4.2</v>
      </c>
      <c r="V100" s="6">
        <v>319.0</v>
      </c>
      <c r="W100" s="6">
        <v>1.0</v>
      </c>
      <c r="X100" s="6" t="s">
        <v>183</v>
      </c>
      <c r="Y100" s="6">
        <v>1.0</v>
      </c>
    </row>
    <row r="101">
      <c r="A101" s="8">
        <v>45981.0</v>
      </c>
      <c r="B101" s="6">
        <v>4.512345678004E12</v>
      </c>
      <c r="C101" s="6" t="s">
        <v>113</v>
      </c>
      <c r="D101" s="6" t="s">
        <v>114</v>
      </c>
      <c r="E101" s="6" t="s">
        <v>115</v>
      </c>
      <c r="F101" s="6">
        <v>604.0</v>
      </c>
      <c r="G101" s="6">
        <v>8.0</v>
      </c>
      <c r="H101" s="6">
        <v>9.0</v>
      </c>
      <c r="I101" s="6">
        <v>27000.0</v>
      </c>
      <c r="J101" s="6">
        <v>3000.0</v>
      </c>
      <c r="K101" s="6">
        <v>0.0</v>
      </c>
      <c r="L101" s="6">
        <v>270.0</v>
      </c>
      <c r="M101" s="6">
        <v>800.0</v>
      </c>
      <c r="N101" s="6">
        <v>2160.0</v>
      </c>
      <c r="O101" s="6">
        <v>4050.0</v>
      </c>
      <c r="P101" s="6">
        <v>16200.0</v>
      </c>
      <c r="Q101" s="6">
        <v>4000.0</v>
      </c>
      <c r="R101" s="6">
        <v>0.0</v>
      </c>
      <c r="S101" s="6">
        <v>600.0</v>
      </c>
      <c r="T101" s="6">
        <v>453.0</v>
      </c>
      <c r="U101" s="6">
        <v>4.0</v>
      </c>
      <c r="V101" s="6">
        <v>79.0</v>
      </c>
      <c r="W101" s="6">
        <v>14.0</v>
      </c>
      <c r="X101" s="6" t="s">
        <v>184</v>
      </c>
      <c r="Y101" s="6">
        <v>11.0</v>
      </c>
    </row>
    <row r="102">
      <c r="A102" s="8">
        <v>45981.0</v>
      </c>
      <c r="B102" s="6">
        <v>4.512345678005E12</v>
      </c>
      <c r="C102" s="6" t="s">
        <v>116</v>
      </c>
      <c r="D102" s="6" t="s">
        <v>117</v>
      </c>
      <c r="E102" s="6" t="s">
        <v>118</v>
      </c>
      <c r="F102" s="6">
        <v>45.0</v>
      </c>
      <c r="G102" s="6">
        <v>0.0</v>
      </c>
      <c r="H102" s="6">
        <v>0.0</v>
      </c>
      <c r="I102" s="6">
        <v>0.0</v>
      </c>
      <c r="J102" s="6">
        <v>4500.0</v>
      </c>
      <c r="K102" s="6">
        <v>0.0</v>
      </c>
      <c r="L102" s="6">
        <v>0.0</v>
      </c>
      <c r="M102" s="6">
        <v>0.0</v>
      </c>
      <c r="N102" s="6">
        <v>0.0</v>
      </c>
      <c r="O102" s="6">
        <v>500.0</v>
      </c>
      <c r="P102" s="6">
        <v>0.0</v>
      </c>
      <c r="Q102" s="6">
        <v>0.0</v>
      </c>
      <c r="R102" s="6">
        <v>0.0</v>
      </c>
      <c r="S102" s="6">
        <v>2000.0</v>
      </c>
      <c r="T102" s="6">
        <v>48.0</v>
      </c>
      <c r="U102" s="6">
        <v>4.9</v>
      </c>
      <c r="V102" s="6">
        <v>24.0</v>
      </c>
      <c r="W102" s="6">
        <v>38.0</v>
      </c>
      <c r="X102" s="6" t="s">
        <v>185</v>
      </c>
      <c r="Y102" s="6">
        <v>35.0</v>
      </c>
    </row>
    <row r="103">
      <c r="A103" s="8">
        <v>45982.0</v>
      </c>
      <c r="B103" s="6">
        <v>4.512345678001E12</v>
      </c>
      <c r="C103" s="6" t="s">
        <v>178</v>
      </c>
      <c r="D103" s="6" t="s">
        <v>179</v>
      </c>
      <c r="E103" s="6" t="s">
        <v>180</v>
      </c>
      <c r="F103" s="6">
        <v>1232.0</v>
      </c>
      <c r="G103" s="6">
        <v>39.0</v>
      </c>
      <c r="H103" s="6">
        <v>44.0</v>
      </c>
      <c r="I103" s="6">
        <v>220000.0</v>
      </c>
      <c r="J103" s="6">
        <v>5000.0</v>
      </c>
      <c r="K103" s="6">
        <v>0.0</v>
      </c>
      <c r="L103" s="6">
        <v>2200.0</v>
      </c>
      <c r="M103" s="6">
        <v>0.0</v>
      </c>
      <c r="N103" s="6">
        <v>17600.0</v>
      </c>
      <c r="O103" s="6">
        <v>22000.0</v>
      </c>
      <c r="P103" s="6">
        <v>132000.0</v>
      </c>
      <c r="Q103" s="6">
        <v>19500.0</v>
      </c>
      <c r="R103" s="6">
        <v>0.0</v>
      </c>
      <c r="S103" s="6">
        <v>2500.0</v>
      </c>
      <c r="T103" s="6">
        <v>383.0</v>
      </c>
      <c r="U103" s="6">
        <v>3.7</v>
      </c>
      <c r="V103" s="6">
        <v>170.0</v>
      </c>
      <c r="W103" s="6">
        <v>3.0</v>
      </c>
      <c r="X103" s="6" t="s">
        <v>181</v>
      </c>
      <c r="Y103" s="6">
        <v>6.0</v>
      </c>
    </row>
    <row r="104">
      <c r="A104" s="8">
        <v>45982.0</v>
      </c>
      <c r="B104" s="6">
        <v>4.512345678002E12</v>
      </c>
      <c r="C104" s="6" t="s">
        <v>106</v>
      </c>
      <c r="D104" s="6" t="s">
        <v>107</v>
      </c>
      <c r="E104" s="6" t="s">
        <v>108</v>
      </c>
      <c r="F104" s="6">
        <v>834.0</v>
      </c>
      <c r="G104" s="6">
        <v>15.0</v>
      </c>
      <c r="H104" s="6">
        <v>17.0</v>
      </c>
      <c r="I104" s="6">
        <v>51000.0</v>
      </c>
      <c r="J104" s="6">
        <v>3000.0</v>
      </c>
      <c r="K104" s="6">
        <v>0.0</v>
      </c>
      <c r="L104" s="6">
        <v>510.0</v>
      </c>
      <c r="M104" s="6">
        <v>0.0</v>
      </c>
      <c r="N104" s="6">
        <v>4080.0</v>
      </c>
      <c r="O104" s="6">
        <v>5100.0</v>
      </c>
      <c r="P104" s="6">
        <v>30600.0</v>
      </c>
      <c r="Q104" s="6">
        <v>7500.0</v>
      </c>
      <c r="R104" s="6">
        <v>0.0</v>
      </c>
      <c r="S104" s="6">
        <v>900.0</v>
      </c>
      <c r="T104" s="6">
        <v>382.0</v>
      </c>
      <c r="U104" s="6">
        <v>4.9</v>
      </c>
      <c r="V104" s="6">
        <v>100.0</v>
      </c>
      <c r="W104" s="6">
        <v>8.0</v>
      </c>
      <c r="X104" s="6" t="s">
        <v>182</v>
      </c>
      <c r="Y104" s="6">
        <v>11.0</v>
      </c>
    </row>
    <row r="105">
      <c r="A105" s="8">
        <v>45982.0</v>
      </c>
      <c r="B105" s="6">
        <v>4.512345678003E12</v>
      </c>
      <c r="C105" s="6" t="s">
        <v>110</v>
      </c>
      <c r="D105" s="6" t="s">
        <v>111</v>
      </c>
      <c r="E105" s="6" t="s">
        <v>112</v>
      </c>
      <c r="F105" s="6">
        <v>3389.0</v>
      </c>
      <c r="G105" s="6">
        <v>179.0</v>
      </c>
      <c r="H105" s="6">
        <v>198.0</v>
      </c>
      <c r="I105" s="6">
        <v>594000.0</v>
      </c>
      <c r="J105" s="6">
        <v>3000.0</v>
      </c>
      <c r="K105" s="6">
        <v>0.0</v>
      </c>
      <c r="L105" s="6">
        <v>5940.0</v>
      </c>
      <c r="M105" s="6">
        <v>17900.0</v>
      </c>
      <c r="N105" s="6">
        <v>47520.0</v>
      </c>
      <c r="O105" s="6">
        <v>29700.0</v>
      </c>
      <c r="P105" s="6">
        <v>356400.0</v>
      </c>
      <c r="Q105" s="6">
        <v>89500.0</v>
      </c>
      <c r="R105" s="6">
        <v>0.0</v>
      </c>
      <c r="S105" s="6">
        <v>1800.0</v>
      </c>
      <c r="T105" s="6">
        <v>311.0</v>
      </c>
      <c r="U105" s="6">
        <v>4.6</v>
      </c>
      <c r="V105" s="6">
        <v>320.0</v>
      </c>
      <c r="W105" s="6">
        <v>4.0</v>
      </c>
      <c r="X105" s="6" t="s">
        <v>183</v>
      </c>
      <c r="Y105" s="6">
        <v>1.0</v>
      </c>
    </row>
    <row r="106">
      <c r="A106" s="8">
        <v>45982.0</v>
      </c>
      <c r="B106" s="6">
        <v>4.512345678004E12</v>
      </c>
      <c r="C106" s="6" t="s">
        <v>113</v>
      </c>
      <c r="D106" s="6" t="s">
        <v>114</v>
      </c>
      <c r="E106" s="6" t="s">
        <v>115</v>
      </c>
      <c r="F106" s="6">
        <v>537.0</v>
      </c>
      <c r="G106" s="6">
        <v>3.0</v>
      </c>
      <c r="H106" s="6">
        <v>3.0</v>
      </c>
      <c r="I106" s="6">
        <v>9000.0</v>
      </c>
      <c r="J106" s="6">
        <v>3000.0</v>
      </c>
      <c r="K106" s="6">
        <v>0.0</v>
      </c>
      <c r="L106" s="6">
        <v>90.0</v>
      </c>
      <c r="M106" s="6">
        <v>0.0</v>
      </c>
      <c r="N106" s="6">
        <v>720.0</v>
      </c>
      <c r="O106" s="6">
        <v>1350.0</v>
      </c>
      <c r="P106" s="6">
        <v>5400.0</v>
      </c>
      <c r="Q106" s="6">
        <v>1500.0</v>
      </c>
      <c r="R106" s="6">
        <v>0.0</v>
      </c>
      <c r="S106" s="6">
        <v>600.0</v>
      </c>
      <c r="T106" s="6">
        <v>450.0</v>
      </c>
      <c r="U106" s="6">
        <v>4.1</v>
      </c>
      <c r="V106" s="6">
        <v>80.0</v>
      </c>
      <c r="W106" s="6">
        <v>14.0</v>
      </c>
      <c r="X106" s="6" t="s">
        <v>184</v>
      </c>
      <c r="Y106" s="6">
        <v>14.0</v>
      </c>
    </row>
    <row r="107">
      <c r="A107" s="8">
        <v>45982.0</v>
      </c>
      <c r="B107" s="6">
        <v>4.512345678005E12</v>
      </c>
      <c r="C107" s="6" t="s">
        <v>116</v>
      </c>
      <c r="D107" s="6" t="s">
        <v>117</v>
      </c>
      <c r="E107" s="6" t="s">
        <v>118</v>
      </c>
      <c r="F107" s="6">
        <v>53.0</v>
      </c>
      <c r="G107" s="6">
        <v>1.0</v>
      </c>
      <c r="H107" s="6">
        <v>1.0</v>
      </c>
      <c r="I107" s="6">
        <v>4500.0</v>
      </c>
      <c r="J107" s="6">
        <v>4500.0</v>
      </c>
      <c r="K107" s="6">
        <v>0.0</v>
      </c>
      <c r="L107" s="6">
        <v>45.0</v>
      </c>
      <c r="M107" s="6">
        <v>0.0</v>
      </c>
      <c r="N107" s="6">
        <v>360.0</v>
      </c>
      <c r="O107" s="6">
        <v>0.0</v>
      </c>
      <c r="P107" s="6">
        <v>2700.0</v>
      </c>
      <c r="Q107" s="6">
        <v>500.0</v>
      </c>
      <c r="R107" s="6">
        <v>0.0</v>
      </c>
      <c r="S107" s="6">
        <v>2000.0</v>
      </c>
      <c r="T107" s="6">
        <v>47.0</v>
      </c>
      <c r="U107" s="6">
        <v>4.6</v>
      </c>
      <c r="V107" s="6">
        <v>25.0</v>
      </c>
      <c r="W107" s="6">
        <v>34.0</v>
      </c>
      <c r="X107" s="6" t="s">
        <v>185</v>
      </c>
      <c r="Y107" s="6">
        <v>37.0</v>
      </c>
    </row>
    <row r="108">
      <c r="A108" s="8">
        <v>45983.0</v>
      </c>
      <c r="B108" s="6">
        <v>4.512345678001E12</v>
      </c>
      <c r="C108" s="6" t="s">
        <v>178</v>
      </c>
      <c r="D108" s="6" t="s">
        <v>179</v>
      </c>
      <c r="E108" s="6" t="s">
        <v>180</v>
      </c>
      <c r="F108" s="6">
        <v>1622.0</v>
      </c>
      <c r="G108" s="6">
        <v>45.0</v>
      </c>
      <c r="H108" s="6">
        <v>46.0</v>
      </c>
      <c r="I108" s="6">
        <v>230000.0</v>
      </c>
      <c r="J108" s="6">
        <v>5000.0</v>
      </c>
      <c r="K108" s="6">
        <v>0.0</v>
      </c>
      <c r="L108" s="6">
        <v>2300.0</v>
      </c>
      <c r="M108" s="6">
        <v>4500.0</v>
      </c>
      <c r="N108" s="6">
        <v>18400.0</v>
      </c>
      <c r="O108" s="6">
        <v>23000.0</v>
      </c>
      <c r="P108" s="6">
        <v>138000.0</v>
      </c>
      <c r="Q108" s="6">
        <v>22500.0</v>
      </c>
      <c r="R108" s="6">
        <v>0.0</v>
      </c>
      <c r="S108" s="6">
        <v>2500.0</v>
      </c>
      <c r="T108" s="6">
        <v>337.0</v>
      </c>
      <c r="U108" s="6">
        <v>4.4</v>
      </c>
      <c r="V108" s="6">
        <v>171.0</v>
      </c>
      <c r="W108" s="6">
        <v>1.0</v>
      </c>
      <c r="X108" s="6" t="s">
        <v>181</v>
      </c>
      <c r="Y108" s="6">
        <v>2.0</v>
      </c>
    </row>
    <row r="109">
      <c r="A109" s="8">
        <v>45983.0</v>
      </c>
      <c r="B109" s="6">
        <v>4.512345678002E12</v>
      </c>
      <c r="C109" s="6" t="s">
        <v>106</v>
      </c>
      <c r="D109" s="6" t="s">
        <v>107</v>
      </c>
      <c r="E109" s="6" t="s">
        <v>108</v>
      </c>
      <c r="F109" s="6">
        <v>1002.0</v>
      </c>
      <c r="G109" s="6">
        <v>24.0</v>
      </c>
      <c r="H109" s="6">
        <v>28.0</v>
      </c>
      <c r="I109" s="6">
        <v>84000.0</v>
      </c>
      <c r="J109" s="6">
        <v>3000.0</v>
      </c>
      <c r="K109" s="6">
        <v>0.0</v>
      </c>
      <c r="L109" s="6">
        <v>840.0</v>
      </c>
      <c r="M109" s="6">
        <v>0.0</v>
      </c>
      <c r="N109" s="6">
        <v>6720.0</v>
      </c>
      <c r="O109" s="6">
        <v>8400.0</v>
      </c>
      <c r="P109" s="6">
        <v>50400.0</v>
      </c>
      <c r="Q109" s="6">
        <v>12000.0</v>
      </c>
      <c r="R109" s="6">
        <v>0.0</v>
      </c>
      <c r="S109" s="6">
        <v>900.0</v>
      </c>
      <c r="T109" s="6">
        <v>354.0</v>
      </c>
      <c r="U109" s="6">
        <v>3.6</v>
      </c>
      <c r="V109" s="6">
        <v>101.0</v>
      </c>
      <c r="W109" s="6">
        <v>11.0</v>
      </c>
      <c r="X109" s="6" t="s">
        <v>182</v>
      </c>
      <c r="Y109" s="6">
        <v>13.0</v>
      </c>
    </row>
    <row r="110">
      <c r="A110" s="8">
        <v>45983.0</v>
      </c>
      <c r="B110" s="6">
        <v>4.512345678003E12</v>
      </c>
      <c r="C110" s="6" t="s">
        <v>110</v>
      </c>
      <c r="D110" s="6" t="s">
        <v>111</v>
      </c>
      <c r="E110" s="6" t="s">
        <v>112</v>
      </c>
      <c r="F110" s="6">
        <v>3287.0</v>
      </c>
      <c r="G110" s="6">
        <v>168.0</v>
      </c>
      <c r="H110" s="6">
        <v>188.0</v>
      </c>
      <c r="I110" s="6">
        <v>564000.0</v>
      </c>
      <c r="J110" s="6">
        <v>3000.0</v>
      </c>
      <c r="K110" s="6">
        <v>0.0</v>
      </c>
      <c r="L110" s="6">
        <v>5640.0</v>
      </c>
      <c r="M110" s="6">
        <v>16800.0</v>
      </c>
      <c r="N110" s="6">
        <v>45120.0</v>
      </c>
      <c r="O110" s="6">
        <v>28200.0</v>
      </c>
      <c r="P110" s="6">
        <v>338400.0</v>
      </c>
      <c r="Q110" s="6">
        <v>84000.0</v>
      </c>
      <c r="R110" s="6">
        <v>0.0</v>
      </c>
      <c r="S110" s="6">
        <v>1800.0</v>
      </c>
      <c r="T110" s="6">
        <v>123.0</v>
      </c>
      <c r="U110" s="6">
        <v>4.4</v>
      </c>
      <c r="V110" s="6">
        <v>321.0</v>
      </c>
      <c r="W110" s="6">
        <v>1.0</v>
      </c>
      <c r="X110" s="6" t="s">
        <v>183</v>
      </c>
      <c r="Y110" s="6">
        <v>1.0</v>
      </c>
    </row>
    <row r="111">
      <c r="A111" s="8">
        <v>45983.0</v>
      </c>
      <c r="B111" s="6">
        <v>4.512345678004E12</v>
      </c>
      <c r="C111" s="6" t="s">
        <v>113</v>
      </c>
      <c r="D111" s="6" t="s">
        <v>114</v>
      </c>
      <c r="E111" s="6" t="s">
        <v>115</v>
      </c>
      <c r="F111" s="6">
        <v>614.0</v>
      </c>
      <c r="G111" s="6">
        <v>11.0</v>
      </c>
      <c r="H111" s="6">
        <v>13.0</v>
      </c>
      <c r="I111" s="6">
        <v>39000.0</v>
      </c>
      <c r="J111" s="6">
        <v>3000.0</v>
      </c>
      <c r="K111" s="6">
        <v>0.0</v>
      </c>
      <c r="L111" s="6">
        <v>390.0</v>
      </c>
      <c r="M111" s="6">
        <v>0.0</v>
      </c>
      <c r="N111" s="6">
        <v>3120.0</v>
      </c>
      <c r="O111" s="6">
        <v>5850.0</v>
      </c>
      <c r="P111" s="6">
        <v>23400.0</v>
      </c>
      <c r="Q111" s="6">
        <v>5500.0</v>
      </c>
      <c r="R111" s="6">
        <v>0.0</v>
      </c>
      <c r="S111" s="6">
        <v>600.0</v>
      </c>
      <c r="T111" s="6">
        <v>437.0</v>
      </c>
      <c r="U111" s="6">
        <v>4.4</v>
      </c>
      <c r="V111" s="6">
        <v>81.0</v>
      </c>
      <c r="W111" s="6">
        <v>16.0</v>
      </c>
      <c r="X111" s="6" t="s">
        <v>184</v>
      </c>
      <c r="Y111" s="6">
        <v>14.0</v>
      </c>
    </row>
    <row r="112">
      <c r="A112" s="8">
        <v>45983.0</v>
      </c>
      <c r="B112" s="6">
        <v>4.512345678005E12</v>
      </c>
      <c r="C112" s="6" t="s">
        <v>116</v>
      </c>
      <c r="D112" s="6" t="s">
        <v>117</v>
      </c>
      <c r="E112" s="6" t="s">
        <v>118</v>
      </c>
      <c r="F112" s="6">
        <v>52.0</v>
      </c>
      <c r="G112" s="6">
        <v>2.0</v>
      </c>
      <c r="H112" s="6">
        <v>2.0</v>
      </c>
      <c r="I112" s="6">
        <v>9000.0</v>
      </c>
      <c r="J112" s="6">
        <v>4500.0</v>
      </c>
      <c r="K112" s="6">
        <v>0.0</v>
      </c>
      <c r="L112" s="6">
        <v>90.0</v>
      </c>
      <c r="M112" s="6">
        <v>0.0</v>
      </c>
      <c r="N112" s="6">
        <v>720.0</v>
      </c>
      <c r="O112" s="6">
        <v>0.0</v>
      </c>
      <c r="P112" s="6">
        <v>5400.0</v>
      </c>
      <c r="Q112" s="6">
        <v>1000.0</v>
      </c>
      <c r="R112" s="6">
        <v>0.0</v>
      </c>
      <c r="S112" s="6">
        <v>2000.0</v>
      </c>
      <c r="T112" s="6">
        <v>45.0</v>
      </c>
      <c r="U112" s="6">
        <v>4.8</v>
      </c>
      <c r="V112" s="6">
        <v>26.0</v>
      </c>
      <c r="W112" s="6">
        <v>32.0</v>
      </c>
      <c r="X112" s="6" t="s">
        <v>185</v>
      </c>
      <c r="Y112" s="6">
        <v>35.0</v>
      </c>
    </row>
    <row r="113">
      <c r="A113" s="8">
        <v>45984.0</v>
      </c>
      <c r="B113" s="6">
        <v>4.512345678001E12</v>
      </c>
      <c r="C113" s="6" t="s">
        <v>178</v>
      </c>
      <c r="D113" s="6" t="s">
        <v>179</v>
      </c>
      <c r="E113" s="6" t="s">
        <v>180</v>
      </c>
      <c r="F113" s="6">
        <v>2116.0</v>
      </c>
      <c r="G113" s="6">
        <v>53.0</v>
      </c>
      <c r="H113" s="6">
        <v>55.0</v>
      </c>
      <c r="I113" s="6">
        <v>275000.0</v>
      </c>
      <c r="J113" s="6">
        <v>5000.0</v>
      </c>
      <c r="K113" s="6">
        <v>0.0</v>
      </c>
      <c r="L113" s="6">
        <v>2750.0</v>
      </c>
      <c r="M113" s="6">
        <v>0.0</v>
      </c>
      <c r="N113" s="6">
        <v>22000.0</v>
      </c>
      <c r="O113" s="6">
        <v>27500.0</v>
      </c>
      <c r="P113" s="6">
        <v>165000.0</v>
      </c>
      <c r="Q113" s="6">
        <v>26500.0</v>
      </c>
      <c r="R113" s="6">
        <v>0.0</v>
      </c>
      <c r="S113" s="6">
        <v>2500.0</v>
      </c>
      <c r="T113" s="6">
        <v>282.0</v>
      </c>
      <c r="U113" s="6">
        <v>4.6</v>
      </c>
      <c r="V113" s="6">
        <v>172.0</v>
      </c>
      <c r="W113" s="6">
        <v>3.0</v>
      </c>
      <c r="X113" s="6" t="s">
        <v>181</v>
      </c>
      <c r="Y113" s="6">
        <v>1.0</v>
      </c>
    </row>
    <row r="114">
      <c r="A114" s="8">
        <v>45984.0</v>
      </c>
      <c r="B114" s="6">
        <v>4.512345678002E12</v>
      </c>
      <c r="C114" s="6" t="s">
        <v>106</v>
      </c>
      <c r="D114" s="6" t="s">
        <v>107</v>
      </c>
      <c r="E114" s="6" t="s">
        <v>108</v>
      </c>
      <c r="F114" s="6">
        <v>1134.0</v>
      </c>
      <c r="G114" s="6">
        <v>29.0</v>
      </c>
      <c r="H114" s="6">
        <v>30.0</v>
      </c>
      <c r="I114" s="6">
        <v>90000.0</v>
      </c>
      <c r="J114" s="6">
        <v>3000.0</v>
      </c>
      <c r="K114" s="6">
        <v>0.0</v>
      </c>
      <c r="L114" s="6">
        <v>900.0</v>
      </c>
      <c r="M114" s="6">
        <v>0.0</v>
      </c>
      <c r="N114" s="6">
        <v>7200.0</v>
      </c>
      <c r="O114" s="6">
        <v>9000.0</v>
      </c>
      <c r="P114" s="6">
        <v>54000.0</v>
      </c>
      <c r="Q114" s="6">
        <v>14500.0</v>
      </c>
      <c r="R114" s="6">
        <v>0.0</v>
      </c>
      <c r="S114" s="6">
        <v>900.0</v>
      </c>
      <c r="T114" s="6">
        <v>324.0</v>
      </c>
      <c r="U114" s="6">
        <v>4.3</v>
      </c>
      <c r="V114" s="6">
        <v>102.0</v>
      </c>
      <c r="W114" s="6">
        <v>12.0</v>
      </c>
      <c r="X114" s="6" t="s">
        <v>182</v>
      </c>
      <c r="Y114" s="6">
        <v>8.0</v>
      </c>
    </row>
    <row r="115">
      <c r="A115" s="8">
        <v>45984.0</v>
      </c>
      <c r="B115" s="6">
        <v>4.512345678003E12</v>
      </c>
      <c r="C115" s="6" t="s">
        <v>110</v>
      </c>
      <c r="D115" s="6" t="s">
        <v>111</v>
      </c>
      <c r="E115" s="6" t="s">
        <v>112</v>
      </c>
      <c r="F115" s="6">
        <v>3657.0</v>
      </c>
      <c r="G115" s="6">
        <v>191.0</v>
      </c>
      <c r="H115" s="6">
        <v>228.0</v>
      </c>
      <c r="I115" s="6">
        <v>684000.0</v>
      </c>
      <c r="J115" s="6">
        <v>3000.0</v>
      </c>
      <c r="K115" s="6">
        <v>0.0</v>
      </c>
      <c r="L115" s="6">
        <v>6840.0</v>
      </c>
      <c r="M115" s="6">
        <v>0.0</v>
      </c>
      <c r="N115" s="6">
        <v>54720.0</v>
      </c>
      <c r="O115" s="6">
        <v>34200.0</v>
      </c>
      <c r="P115" s="6">
        <v>410400.0</v>
      </c>
      <c r="Q115" s="6">
        <v>95500.0</v>
      </c>
      <c r="R115" s="6">
        <v>0.0</v>
      </c>
      <c r="S115" s="6">
        <v>1800.0</v>
      </c>
      <c r="T115" s="6">
        <v>395.0</v>
      </c>
      <c r="U115" s="6">
        <v>4.5</v>
      </c>
      <c r="V115" s="6">
        <v>322.0</v>
      </c>
      <c r="W115" s="6">
        <v>1.0</v>
      </c>
      <c r="X115" s="6" t="s">
        <v>183</v>
      </c>
      <c r="Y115" s="6">
        <v>7.0</v>
      </c>
    </row>
    <row r="116">
      <c r="A116" s="8">
        <v>45984.0</v>
      </c>
      <c r="B116" s="6">
        <v>4.512345678004E12</v>
      </c>
      <c r="C116" s="6" t="s">
        <v>113</v>
      </c>
      <c r="D116" s="6" t="s">
        <v>114</v>
      </c>
      <c r="E116" s="6" t="s">
        <v>115</v>
      </c>
      <c r="F116" s="6">
        <v>761.0</v>
      </c>
      <c r="G116" s="6">
        <v>9.0</v>
      </c>
      <c r="H116" s="6">
        <v>9.0</v>
      </c>
      <c r="I116" s="6">
        <v>27000.0</v>
      </c>
      <c r="J116" s="6">
        <v>3000.0</v>
      </c>
      <c r="K116" s="6">
        <v>0.0</v>
      </c>
      <c r="L116" s="6">
        <v>270.0</v>
      </c>
      <c r="M116" s="6">
        <v>0.0</v>
      </c>
      <c r="N116" s="6">
        <v>2160.0</v>
      </c>
      <c r="O116" s="6">
        <v>4050.0</v>
      </c>
      <c r="P116" s="6">
        <v>16200.0</v>
      </c>
      <c r="Q116" s="6">
        <v>4500.0</v>
      </c>
      <c r="R116" s="6">
        <v>0.0</v>
      </c>
      <c r="S116" s="6">
        <v>600.0</v>
      </c>
      <c r="T116" s="6">
        <v>428.0</v>
      </c>
      <c r="U116" s="6">
        <v>4.0</v>
      </c>
      <c r="V116" s="6">
        <v>82.0</v>
      </c>
      <c r="W116" s="6">
        <v>13.0</v>
      </c>
      <c r="X116" s="6" t="s">
        <v>184</v>
      </c>
      <c r="Y116" s="6">
        <v>11.0</v>
      </c>
    </row>
    <row r="117">
      <c r="A117" s="8">
        <v>45984.0</v>
      </c>
      <c r="B117" s="6">
        <v>4.512345678005E12</v>
      </c>
      <c r="C117" s="6" t="s">
        <v>116</v>
      </c>
      <c r="D117" s="6" t="s">
        <v>117</v>
      </c>
      <c r="E117" s="6" t="s">
        <v>118</v>
      </c>
      <c r="F117" s="6">
        <v>48.0</v>
      </c>
      <c r="G117" s="6">
        <v>0.0</v>
      </c>
      <c r="H117" s="6">
        <v>0.0</v>
      </c>
      <c r="I117" s="6">
        <v>0.0</v>
      </c>
      <c r="J117" s="6">
        <v>4500.0</v>
      </c>
      <c r="K117" s="6">
        <v>0.0</v>
      </c>
      <c r="L117" s="6">
        <v>0.0</v>
      </c>
      <c r="M117" s="6">
        <v>0.0</v>
      </c>
      <c r="N117" s="6">
        <v>0.0</v>
      </c>
      <c r="O117" s="6">
        <v>500.0</v>
      </c>
      <c r="P117" s="6">
        <v>0.0</v>
      </c>
      <c r="Q117" s="6">
        <v>0.0</v>
      </c>
      <c r="R117" s="6">
        <v>0.0</v>
      </c>
      <c r="S117" s="6">
        <v>2000.0</v>
      </c>
      <c r="T117" s="6">
        <v>45.0</v>
      </c>
      <c r="U117" s="6">
        <v>4.0</v>
      </c>
      <c r="V117" s="6">
        <v>27.0</v>
      </c>
      <c r="W117" s="6">
        <v>31.0</v>
      </c>
      <c r="X117" s="6" t="s">
        <v>185</v>
      </c>
      <c r="Y117" s="6">
        <v>31.0</v>
      </c>
    </row>
    <row r="118">
      <c r="A118" s="8">
        <v>45985.0</v>
      </c>
      <c r="B118" s="6">
        <v>4.512345678001E12</v>
      </c>
      <c r="C118" s="6" t="s">
        <v>178</v>
      </c>
      <c r="D118" s="6" t="s">
        <v>179</v>
      </c>
      <c r="E118" s="6" t="s">
        <v>180</v>
      </c>
      <c r="F118" s="6">
        <v>1614.0</v>
      </c>
      <c r="G118" s="6">
        <v>42.0</v>
      </c>
      <c r="H118" s="6">
        <v>43.0</v>
      </c>
      <c r="I118" s="6">
        <v>215000.0</v>
      </c>
      <c r="J118" s="6">
        <v>5000.0</v>
      </c>
      <c r="K118" s="6">
        <v>0.0</v>
      </c>
      <c r="L118" s="6">
        <v>2150.0</v>
      </c>
      <c r="M118" s="6">
        <v>0.0</v>
      </c>
      <c r="N118" s="6">
        <v>17200.0</v>
      </c>
      <c r="O118" s="6">
        <v>21500.0</v>
      </c>
      <c r="P118" s="6">
        <v>129000.0</v>
      </c>
      <c r="Q118" s="6">
        <v>21000.0</v>
      </c>
      <c r="R118" s="6">
        <v>0.0</v>
      </c>
      <c r="S118" s="6">
        <v>2500.0</v>
      </c>
      <c r="T118" s="6">
        <v>239.0</v>
      </c>
      <c r="U118" s="6">
        <v>5.0</v>
      </c>
      <c r="V118" s="6">
        <v>173.0</v>
      </c>
      <c r="W118" s="6">
        <v>2.0</v>
      </c>
      <c r="X118" s="6" t="s">
        <v>181</v>
      </c>
      <c r="Y118" s="6">
        <v>7.0</v>
      </c>
    </row>
    <row r="119">
      <c r="A119" s="8">
        <v>45985.0</v>
      </c>
      <c r="B119" s="6">
        <v>4.512345678002E12</v>
      </c>
      <c r="C119" s="6" t="s">
        <v>106</v>
      </c>
      <c r="D119" s="6" t="s">
        <v>107</v>
      </c>
      <c r="E119" s="6" t="s">
        <v>108</v>
      </c>
      <c r="F119" s="6">
        <v>729.0</v>
      </c>
      <c r="G119" s="6">
        <v>11.0</v>
      </c>
      <c r="H119" s="6">
        <v>12.0</v>
      </c>
      <c r="I119" s="6">
        <v>36000.0</v>
      </c>
      <c r="J119" s="6">
        <v>3000.0</v>
      </c>
      <c r="K119" s="6">
        <v>0.0</v>
      </c>
      <c r="L119" s="6">
        <v>360.0</v>
      </c>
      <c r="M119" s="6">
        <v>0.0</v>
      </c>
      <c r="N119" s="6">
        <v>2880.0</v>
      </c>
      <c r="O119" s="6">
        <v>3600.0</v>
      </c>
      <c r="P119" s="6">
        <v>21600.0</v>
      </c>
      <c r="Q119" s="6">
        <v>5500.0</v>
      </c>
      <c r="R119" s="6">
        <v>0.0</v>
      </c>
      <c r="S119" s="6">
        <v>900.0</v>
      </c>
      <c r="T119" s="6">
        <v>312.0</v>
      </c>
      <c r="U119" s="6">
        <v>3.9</v>
      </c>
      <c r="V119" s="6">
        <v>103.0</v>
      </c>
      <c r="W119" s="6">
        <v>8.0</v>
      </c>
      <c r="X119" s="6" t="s">
        <v>182</v>
      </c>
      <c r="Y119" s="6">
        <v>11.0</v>
      </c>
    </row>
    <row r="120">
      <c r="A120" s="8">
        <v>45985.0</v>
      </c>
      <c r="B120" s="6">
        <v>4.512345678003E12</v>
      </c>
      <c r="C120" s="6" t="s">
        <v>110</v>
      </c>
      <c r="D120" s="6" t="s">
        <v>111</v>
      </c>
      <c r="E120" s="6" t="s">
        <v>112</v>
      </c>
      <c r="F120" s="6">
        <v>2693.0</v>
      </c>
      <c r="G120" s="6">
        <v>125.0</v>
      </c>
      <c r="H120" s="6">
        <v>139.0</v>
      </c>
      <c r="I120" s="6">
        <v>417000.0</v>
      </c>
      <c r="J120" s="6">
        <v>3000.0</v>
      </c>
      <c r="K120" s="6">
        <v>0.0</v>
      </c>
      <c r="L120" s="6">
        <v>4170.0</v>
      </c>
      <c r="M120" s="6">
        <v>0.0</v>
      </c>
      <c r="N120" s="6">
        <v>33360.0</v>
      </c>
      <c r="O120" s="6">
        <v>20850.0</v>
      </c>
      <c r="P120" s="6">
        <v>250200.0</v>
      </c>
      <c r="Q120" s="6">
        <v>62500.0</v>
      </c>
      <c r="R120" s="6">
        <v>0.0</v>
      </c>
      <c r="S120" s="6">
        <v>1800.0</v>
      </c>
      <c r="T120" s="6">
        <v>256.0</v>
      </c>
      <c r="U120" s="6">
        <v>4.0</v>
      </c>
      <c r="V120" s="6">
        <v>323.0</v>
      </c>
      <c r="W120" s="6">
        <v>2.0</v>
      </c>
      <c r="X120" s="6" t="s">
        <v>183</v>
      </c>
      <c r="Y120" s="6">
        <v>1.0</v>
      </c>
    </row>
    <row r="121">
      <c r="A121" s="8">
        <v>45985.0</v>
      </c>
      <c r="B121" s="6">
        <v>4.512345678004E12</v>
      </c>
      <c r="C121" s="6" t="s">
        <v>113</v>
      </c>
      <c r="D121" s="6" t="s">
        <v>114</v>
      </c>
      <c r="E121" s="6" t="s">
        <v>115</v>
      </c>
      <c r="F121" s="6">
        <v>658.0</v>
      </c>
      <c r="G121" s="6">
        <v>7.0</v>
      </c>
      <c r="H121" s="6">
        <v>8.0</v>
      </c>
      <c r="I121" s="6">
        <v>24000.0</v>
      </c>
      <c r="J121" s="6">
        <v>3000.0</v>
      </c>
      <c r="K121" s="6">
        <v>0.0</v>
      </c>
      <c r="L121" s="6">
        <v>240.0</v>
      </c>
      <c r="M121" s="6">
        <v>0.0</v>
      </c>
      <c r="N121" s="6">
        <v>1920.0</v>
      </c>
      <c r="O121" s="6">
        <v>3600.0</v>
      </c>
      <c r="P121" s="6">
        <v>14400.0</v>
      </c>
      <c r="Q121" s="6">
        <v>3500.0</v>
      </c>
      <c r="R121" s="6">
        <v>0.0</v>
      </c>
      <c r="S121" s="6">
        <v>600.0</v>
      </c>
      <c r="T121" s="6">
        <v>420.0</v>
      </c>
      <c r="U121" s="6">
        <v>4.4</v>
      </c>
      <c r="V121" s="6">
        <v>83.0</v>
      </c>
      <c r="W121" s="6">
        <v>14.0</v>
      </c>
      <c r="X121" s="6" t="s">
        <v>184</v>
      </c>
      <c r="Y121" s="6">
        <v>12.0</v>
      </c>
    </row>
    <row r="122">
      <c r="A122" s="8">
        <v>45985.0</v>
      </c>
      <c r="B122" s="6">
        <v>4.512345678005E12</v>
      </c>
      <c r="C122" s="6" t="s">
        <v>116</v>
      </c>
      <c r="D122" s="6" t="s">
        <v>117</v>
      </c>
      <c r="E122" s="6" t="s">
        <v>118</v>
      </c>
      <c r="F122" s="6">
        <v>58.0</v>
      </c>
      <c r="G122" s="6">
        <v>1.0</v>
      </c>
      <c r="H122" s="6">
        <v>1.0</v>
      </c>
      <c r="I122" s="6">
        <v>4500.0</v>
      </c>
      <c r="J122" s="6">
        <v>4500.0</v>
      </c>
      <c r="K122" s="6">
        <v>0.0</v>
      </c>
      <c r="L122" s="6">
        <v>45.0</v>
      </c>
      <c r="M122" s="6">
        <v>0.0</v>
      </c>
      <c r="N122" s="6">
        <v>360.0</v>
      </c>
      <c r="O122" s="6">
        <v>0.0</v>
      </c>
      <c r="P122" s="6">
        <v>2700.0</v>
      </c>
      <c r="Q122" s="6">
        <v>500.0</v>
      </c>
      <c r="R122" s="6">
        <v>0.0</v>
      </c>
      <c r="S122" s="6">
        <v>2000.0</v>
      </c>
      <c r="T122" s="6">
        <v>44.0</v>
      </c>
      <c r="U122" s="6">
        <v>4.5</v>
      </c>
      <c r="V122" s="6">
        <v>28.0</v>
      </c>
      <c r="W122" s="6">
        <v>36.0</v>
      </c>
      <c r="X122" s="6" t="s">
        <v>185</v>
      </c>
      <c r="Y122" s="6">
        <v>34.0</v>
      </c>
    </row>
    <row r="123">
      <c r="A123" s="8">
        <v>45986.0</v>
      </c>
      <c r="B123" s="6">
        <v>4.512345678001E12</v>
      </c>
      <c r="C123" s="6" t="s">
        <v>178</v>
      </c>
      <c r="D123" s="6" t="s">
        <v>179</v>
      </c>
      <c r="E123" s="6" t="s">
        <v>180</v>
      </c>
      <c r="F123" s="6">
        <v>1664.0</v>
      </c>
      <c r="G123" s="6">
        <v>55.0</v>
      </c>
      <c r="H123" s="6">
        <v>55.0</v>
      </c>
      <c r="I123" s="6">
        <v>275000.0</v>
      </c>
      <c r="J123" s="6">
        <v>5000.0</v>
      </c>
      <c r="K123" s="6">
        <v>0.0</v>
      </c>
      <c r="L123" s="6">
        <v>2750.0</v>
      </c>
      <c r="M123" s="6">
        <v>0.0</v>
      </c>
      <c r="N123" s="6">
        <v>22000.0</v>
      </c>
      <c r="O123" s="6">
        <v>27500.0</v>
      </c>
      <c r="P123" s="6">
        <v>165000.0</v>
      </c>
      <c r="Q123" s="6">
        <v>27500.0</v>
      </c>
      <c r="R123" s="6">
        <v>0.0</v>
      </c>
      <c r="S123" s="6">
        <v>2500.0</v>
      </c>
      <c r="T123" s="6">
        <v>184.0</v>
      </c>
      <c r="U123" s="6">
        <v>4.7</v>
      </c>
      <c r="V123" s="6">
        <v>174.0</v>
      </c>
      <c r="W123" s="6">
        <v>5.0</v>
      </c>
      <c r="X123" s="6" t="s">
        <v>181</v>
      </c>
      <c r="Y123" s="6">
        <v>3.0</v>
      </c>
    </row>
    <row r="124">
      <c r="A124" s="8">
        <v>45986.0</v>
      </c>
      <c r="B124" s="6">
        <v>4.512345678002E12</v>
      </c>
      <c r="C124" s="6" t="s">
        <v>106</v>
      </c>
      <c r="D124" s="6" t="s">
        <v>107</v>
      </c>
      <c r="E124" s="6" t="s">
        <v>108</v>
      </c>
      <c r="F124" s="6">
        <v>845.0</v>
      </c>
      <c r="G124" s="6">
        <v>14.0</v>
      </c>
      <c r="H124" s="6">
        <v>14.0</v>
      </c>
      <c r="I124" s="6">
        <v>42000.0</v>
      </c>
      <c r="J124" s="6">
        <v>3000.0</v>
      </c>
      <c r="K124" s="6">
        <v>0.0</v>
      </c>
      <c r="L124" s="6">
        <v>420.0</v>
      </c>
      <c r="M124" s="6">
        <v>0.0</v>
      </c>
      <c r="N124" s="6">
        <v>3360.0</v>
      </c>
      <c r="O124" s="6">
        <v>4200.0</v>
      </c>
      <c r="P124" s="6">
        <v>25200.0</v>
      </c>
      <c r="Q124" s="6">
        <v>7000.0</v>
      </c>
      <c r="R124" s="6">
        <v>0.0</v>
      </c>
      <c r="S124" s="6">
        <v>900.0</v>
      </c>
      <c r="T124" s="6">
        <v>298.0</v>
      </c>
      <c r="U124" s="6">
        <v>3.6</v>
      </c>
      <c r="V124" s="6">
        <v>104.0</v>
      </c>
      <c r="W124" s="6">
        <v>13.0</v>
      </c>
      <c r="X124" s="6" t="s">
        <v>182</v>
      </c>
      <c r="Y124" s="6">
        <v>14.0</v>
      </c>
    </row>
    <row r="125">
      <c r="A125" s="8">
        <v>45986.0</v>
      </c>
      <c r="B125" s="6">
        <v>4.512345678003E12</v>
      </c>
      <c r="C125" s="6" t="s">
        <v>110</v>
      </c>
      <c r="D125" s="6" t="s">
        <v>111</v>
      </c>
      <c r="E125" s="6" t="s">
        <v>112</v>
      </c>
      <c r="F125" s="6">
        <v>2844.0</v>
      </c>
      <c r="G125" s="6">
        <v>144.0</v>
      </c>
      <c r="H125" s="6">
        <v>150.0</v>
      </c>
      <c r="I125" s="6">
        <v>450000.0</v>
      </c>
      <c r="J125" s="6">
        <v>3000.0</v>
      </c>
      <c r="K125" s="6">
        <v>0.0</v>
      </c>
      <c r="L125" s="6">
        <v>4500.0</v>
      </c>
      <c r="M125" s="6">
        <v>0.0</v>
      </c>
      <c r="N125" s="6">
        <v>36000.0</v>
      </c>
      <c r="O125" s="6">
        <v>22500.0</v>
      </c>
      <c r="P125" s="6">
        <v>270000.0</v>
      </c>
      <c r="Q125" s="6">
        <v>72000.0</v>
      </c>
      <c r="R125" s="6">
        <v>0.0</v>
      </c>
      <c r="S125" s="6">
        <v>1800.0</v>
      </c>
      <c r="T125" s="6">
        <v>106.0</v>
      </c>
      <c r="U125" s="6">
        <v>3.9</v>
      </c>
      <c r="V125" s="6">
        <v>324.0</v>
      </c>
      <c r="W125" s="6">
        <v>1.0</v>
      </c>
      <c r="X125" s="6" t="s">
        <v>183</v>
      </c>
      <c r="Y125" s="6">
        <v>4.0</v>
      </c>
    </row>
    <row r="126">
      <c r="A126" s="8">
        <v>45986.0</v>
      </c>
      <c r="B126" s="6">
        <v>4.512345678004E12</v>
      </c>
      <c r="C126" s="6" t="s">
        <v>113</v>
      </c>
      <c r="D126" s="6" t="s">
        <v>114</v>
      </c>
      <c r="E126" s="6" t="s">
        <v>115</v>
      </c>
      <c r="F126" s="6">
        <v>530.0</v>
      </c>
      <c r="G126" s="6">
        <v>9.0</v>
      </c>
      <c r="H126" s="6">
        <v>9.0</v>
      </c>
      <c r="I126" s="6">
        <v>27000.0</v>
      </c>
      <c r="J126" s="6">
        <v>3000.0</v>
      </c>
      <c r="K126" s="6">
        <v>0.0</v>
      </c>
      <c r="L126" s="6">
        <v>270.0</v>
      </c>
      <c r="M126" s="6">
        <v>0.0</v>
      </c>
      <c r="N126" s="6">
        <v>2160.0</v>
      </c>
      <c r="O126" s="6">
        <v>4050.0</v>
      </c>
      <c r="P126" s="6">
        <v>16200.0</v>
      </c>
      <c r="Q126" s="6">
        <v>4500.0</v>
      </c>
      <c r="R126" s="6">
        <v>0.0</v>
      </c>
      <c r="S126" s="6">
        <v>600.0</v>
      </c>
      <c r="T126" s="6">
        <v>411.0</v>
      </c>
      <c r="U126" s="6">
        <v>4.9</v>
      </c>
      <c r="V126" s="6">
        <v>84.0</v>
      </c>
      <c r="W126" s="6">
        <v>14.0</v>
      </c>
      <c r="X126" s="6" t="s">
        <v>184</v>
      </c>
      <c r="Y126" s="6">
        <v>11.0</v>
      </c>
    </row>
    <row r="127">
      <c r="A127" s="8">
        <v>45986.0</v>
      </c>
      <c r="B127" s="6">
        <v>4.512345678005E12</v>
      </c>
      <c r="C127" s="6" t="s">
        <v>116</v>
      </c>
      <c r="D127" s="6" t="s">
        <v>117</v>
      </c>
      <c r="E127" s="6" t="s">
        <v>118</v>
      </c>
      <c r="F127" s="6">
        <v>47.0</v>
      </c>
      <c r="G127" s="6">
        <v>3.0</v>
      </c>
      <c r="H127" s="6">
        <v>3.0</v>
      </c>
      <c r="I127" s="6">
        <v>13500.0</v>
      </c>
      <c r="J127" s="6">
        <v>4500.0</v>
      </c>
      <c r="K127" s="6">
        <v>0.0</v>
      </c>
      <c r="L127" s="6">
        <v>135.0</v>
      </c>
      <c r="M127" s="6">
        <v>0.0</v>
      </c>
      <c r="N127" s="6">
        <v>1080.0</v>
      </c>
      <c r="O127" s="6">
        <v>0.0</v>
      </c>
      <c r="P127" s="6">
        <v>8100.0</v>
      </c>
      <c r="Q127" s="6">
        <v>1500.0</v>
      </c>
      <c r="R127" s="6">
        <v>0.0</v>
      </c>
      <c r="S127" s="6">
        <v>2000.0</v>
      </c>
      <c r="T127" s="6">
        <v>41.0</v>
      </c>
      <c r="U127" s="6">
        <v>4.0</v>
      </c>
      <c r="V127" s="6">
        <v>29.0</v>
      </c>
      <c r="W127" s="6">
        <v>35.0</v>
      </c>
      <c r="X127" s="6" t="s">
        <v>185</v>
      </c>
      <c r="Y127" s="6">
        <v>32.0</v>
      </c>
    </row>
    <row r="128">
      <c r="A128" s="8">
        <v>45987.0</v>
      </c>
      <c r="B128" s="6">
        <v>4.512345678001E12</v>
      </c>
      <c r="C128" s="6" t="s">
        <v>178</v>
      </c>
      <c r="D128" s="6" t="s">
        <v>179</v>
      </c>
      <c r="E128" s="6" t="s">
        <v>180</v>
      </c>
      <c r="F128" s="6">
        <v>1200.0</v>
      </c>
      <c r="G128" s="6">
        <v>35.0</v>
      </c>
      <c r="H128" s="6">
        <v>36.0</v>
      </c>
      <c r="I128" s="6">
        <v>180000.0</v>
      </c>
      <c r="J128" s="6">
        <v>5000.0</v>
      </c>
      <c r="K128" s="6">
        <v>0.0</v>
      </c>
      <c r="L128" s="6">
        <v>1800.0</v>
      </c>
      <c r="M128" s="6">
        <v>3500.0</v>
      </c>
      <c r="N128" s="6">
        <v>14400.0</v>
      </c>
      <c r="O128" s="6">
        <v>18000.0</v>
      </c>
      <c r="P128" s="6">
        <v>108000.0</v>
      </c>
      <c r="Q128" s="6">
        <v>17500.0</v>
      </c>
      <c r="R128" s="6">
        <v>0.0</v>
      </c>
      <c r="S128" s="6">
        <v>2500.0</v>
      </c>
      <c r="T128" s="6">
        <v>148.0</v>
      </c>
      <c r="U128" s="6">
        <v>3.5</v>
      </c>
      <c r="V128" s="6">
        <v>175.0</v>
      </c>
      <c r="W128" s="6">
        <v>4.0</v>
      </c>
      <c r="X128" s="6" t="s">
        <v>181</v>
      </c>
      <c r="Y128" s="6">
        <v>3.0</v>
      </c>
    </row>
    <row r="129">
      <c r="A129" s="8">
        <v>45987.0</v>
      </c>
      <c r="B129" s="6">
        <v>4.512345678002E12</v>
      </c>
      <c r="C129" s="6" t="s">
        <v>106</v>
      </c>
      <c r="D129" s="6" t="s">
        <v>107</v>
      </c>
      <c r="E129" s="6" t="s">
        <v>108</v>
      </c>
      <c r="F129" s="6">
        <v>664.0</v>
      </c>
      <c r="G129" s="6">
        <v>8.0</v>
      </c>
      <c r="H129" s="6">
        <v>9.0</v>
      </c>
      <c r="I129" s="6">
        <v>27000.0</v>
      </c>
      <c r="J129" s="6">
        <v>3000.0</v>
      </c>
      <c r="K129" s="6">
        <v>0.0</v>
      </c>
      <c r="L129" s="6">
        <v>270.0</v>
      </c>
      <c r="M129" s="6">
        <v>0.0</v>
      </c>
      <c r="N129" s="6">
        <v>2160.0</v>
      </c>
      <c r="O129" s="6">
        <v>2700.0</v>
      </c>
      <c r="P129" s="6">
        <v>16200.0</v>
      </c>
      <c r="Q129" s="6">
        <v>4000.0</v>
      </c>
      <c r="R129" s="6">
        <v>0.0</v>
      </c>
      <c r="S129" s="6">
        <v>900.0</v>
      </c>
      <c r="T129" s="6">
        <v>289.0</v>
      </c>
      <c r="U129" s="6">
        <v>3.9</v>
      </c>
      <c r="V129" s="6">
        <v>105.0</v>
      </c>
      <c r="W129" s="6">
        <v>11.0</v>
      </c>
      <c r="X129" s="6" t="s">
        <v>182</v>
      </c>
      <c r="Y129" s="6">
        <v>11.0</v>
      </c>
    </row>
    <row r="130">
      <c r="A130" s="8">
        <v>45987.0</v>
      </c>
      <c r="B130" s="6">
        <v>4.512345678003E12</v>
      </c>
      <c r="C130" s="6" t="s">
        <v>110</v>
      </c>
      <c r="D130" s="6" t="s">
        <v>111</v>
      </c>
      <c r="E130" s="6" t="s">
        <v>112</v>
      </c>
      <c r="F130" s="6">
        <v>3290.0</v>
      </c>
      <c r="G130" s="6">
        <v>176.0</v>
      </c>
      <c r="H130" s="6">
        <v>183.0</v>
      </c>
      <c r="I130" s="6">
        <v>549000.0</v>
      </c>
      <c r="J130" s="6">
        <v>3000.0</v>
      </c>
      <c r="K130" s="6">
        <v>0.0</v>
      </c>
      <c r="L130" s="6">
        <v>5490.0</v>
      </c>
      <c r="M130" s="6">
        <v>17600.0</v>
      </c>
      <c r="N130" s="6">
        <v>43920.0</v>
      </c>
      <c r="O130" s="6">
        <v>27450.0</v>
      </c>
      <c r="P130" s="6">
        <v>329400.0</v>
      </c>
      <c r="Q130" s="6">
        <v>88000.0</v>
      </c>
      <c r="R130" s="6">
        <v>0.0</v>
      </c>
      <c r="S130" s="6">
        <v>1800.0</v>
      </c>
      <c r="T130" s="6">
        <v>423.0</v>
      </c>
      <c r="U130" s="6">
        <v>4.5</v>
      </c>
      <c r="V130" s="6">
        <v>325.0</v>
      </c>
      <c r="W130" s="6">
        <v>1.0</v>
      </c>
      <c r="X130" s="6" t="s">
        <v>183</v>
      </c>
      <c r="Y130" s="6">
        <v>1.0</v>
      </c>
    </row>
    <row r="131">
      <c r="A131" s="8">
        <v>45987.0</v>
      </c>
      <c r="B131" s="6">
        <v>4.512345678004E12</v>
      </c>
      <c r="C131" s="6" t="s">
        <v>113</v>
      </c>
      <c r="D131" s="6" t="s">
        <v>114</v>
      </c>
      <c r="E131" s="6" t="s">
        <v>115</v>
      </c>
      <c r="F131" s="6">
        <v>569.0</v>
      </c>
      <c r="G131" s="6">
        <v>12.0</v>
      </c>
      <c r="H131" s="6">
        <v>13.0</v>
      </c>
      <c r="I131" s="6">
        <v>39000.0</v>
      </c>
      <c r="J131" s="6">
        <v>3000.0</v>
      </c>
      <c r="K131" s="6">
        <v>0.0</v>
      </c>
      <c r="L131" s="6">
        <v>390.0</v>
      </c>
      <c r="M131" s="6">
        <v>0.0</v>
      </c>
      <c r="N131" s="6">
        <v>3120.0</v>
      </c>
      <c r="O131" s="6">
        <v>5850.0</v>
      </c>
      <c r="P131" s="6">
        <v>23400.0</v>
      </c>
      <c r="Q131" s="6">
        <v>6000.0</v>
      </c>
      <c r="R131" s="6">
        <v>0.0</v>
      </c>
      <c r="S131" s="6">
        <v>600.0</v>
      </c>
      <c r="T131" s="6">
        <v>398.0</v>
      </c>
      <c r="U131" s="6">
        <v>4.3</v>
      </c>
      <c r="V131" s="6">
        <v>85.0</v>
      </c>
      <c r="W131" s="6">
        <v>12.0</v>
      </c>
      <c r="X131" s="6" t="s">
        <v>184</v>
      </c>
      <c r="Y131" s="6">
        <v>16.0</v>
      </c>
    </row>
    <row r="132">
      <c r="A132" s="8">
        <v>45987.0</v>
      </c>
      <c r="B132" s="6">
        <v>4.512345678005E12</v>
      </c>
      <c r="C132" s="6" t="s">
        <v>116</v>
      </c>
      <c r="D132" s="6" t="s">
        <v>117</v>
      </c>
      <c r="E132" s="6" t="s">
        <v>118</v>
      </c>
      <c r="F132" s="6">
        <v>45.0</v>
      </c>
      <c r="G132" s="6">
        <v>0.0</v>
      </c>
      <c r="H132" s="6">
        <v>0.0</v>
      </c>
      <c r="I132" s="6">
        <v>0.0</v>
      </c>
      <c r="J132" s="6">
        <v>4500.0</v>
      </c>
      <c r="K132" s="6">
        <v>0.0</v>
      </c>
      <c r="L132" s="6">
        <v>0.0</v>
      </c>
      <c r="M132" s="6">
        <v>0.0</v>
      </c>
      <c r="N132" s="6">
        <v>0.0</v>
      </c>
      <c r="O132" s="6">
        <v>500.0</v>
      </c>
      <c r="P132" s="6">
        <v>0.0</v>
      </c>
      <c r="Q132" s="6">
        <v>0.0</v>
      </c>
      <c r="R132" s="6">
        <v>0.0</v>
      </c>
      <c r="S132" s="6">
        <v>2000.0</v>
      </c>
      <c r="T132" s="6">
        <v>41.0</v>
      </c>
      <c r="U132" s="6">
        <v>3.8</v>
      </c>
      <c r="V132" s="6">
        <v>30.0</v>
      </c>
      <c r="W132" s="6">
        <v>36.0</v>
      </c>
      <c r="X132" s="6" t="s">
        <v>185</v>
      </c>
      <c r="Y132" s="6">
        <v>34.0</v>
      </c>
    </row>
    <row r="133">
      <c r="A133" s="8">
        <v>45988.0</v>
      </c>
      <c r="B133" s="6">
        <v>4.512345678001E12</v>
      </c>
      <c r="C133" s="6" t="s">
        <v>178</v>
      </c>
      <c r="D133" s="6" t="s">
        <v>179</v>
      </c>
      <c r="E133" s="6" t="s">
        <v>180</v>
      </c>
      <c r="F133" s="6">
        <v>1708.0</v>
      </c>
      <c r="G133" s="6">
        <v>58.0</v>
      </c>
      <c r="H133" s="6">
        <v>62.0</v>
      </c>
      <c r="I133" s="6">
        <v>310000.0</v>
      </c>
      <c r="J133" s="6">
        <v>5000.0</v>
      </c>
      <c r="K133" s="6">
        <v>0.0</v>
      </c>
      <c r="L133" s="6">
        <v>3100.0</v>
      </c>
      <c r="M133" s="6">
        <v>0.0</v>
      </c>
      <c r="N133" s="6">
        <v>24800.0</v>
      </c>
      <c r="O133" s="6">
        <v>31000.0</v>
      </c>
      <c r="P133" s="6">
        <v>186000.0</v>
      </c>
      <c r="Q133" s="6">
        <v>29000.0</v>
      </c>
      <c r="R133" s="6">
        <v>0.0</v>
      </c>
      <c r="S133" s="6">
        <v>2500.0</v>
      </c>
      <c r="T133" s="6">
        <v>86.0</v>
      </c>
      <c r="U133" s="6">
        <v>3.6</v>
      </c>
      <c r="V133" s="6">
        <v>176.0</v>
      </c>
      <c r="W133" s="6">
        <v>2.0</v>
      </c>
      <c r="X133" s="6" t="s">
        <v>181</v>
      </c>
      <c r="Y133" s="6">
        <v>4.0</v>
      </c>
    </row>
    <row r="134">
      <c r="A134" s="8">
        <v>45988.0</v>
      </c>
      <c r="B134" s="6">
        <v>4.512345678002E12</v>
      </c>
      <c r="C134" s="6" t="s">
        <v>106</v>
      </c>
      <c r="D134" s="6" t="s">
        <v>107</v>
      </c>
      <c r="E134" s="6" t="s">
        <v>108</v>
      </c>
      <c r="F134" s="6">
        <v>936.0</v>
      </c>
      <c r="G134" s="6">
        <v>19.0</v>
      </c>
      <c r="H134" s="6">
        <v>19.0</v>
      </c>
      <c r="I134" s="6">
        <v>57000.0</v>
      </c>
      <c r="J134" s="6">
        <v>3000.0</v>
      </c>
      <c r="K134" s="6">
        <v>0.0</v>
      </c>
      <c r="L134" s="6">
        <v>570.0</v>
      </c>
      <c r="M134" s="6">
        <v>1900.0</v>
      </c>
      <c r="N134" s="6">
        <v>4560.0</v>
      </c>
      <c r="O134" s="6">
        <v>5700.0</v>
      </c>
      <c r="P134" s="6">
        <v>34200.0</v>
      </c>
      <c r="Q134" s="6">
        <v>9500.0</v>
      </c>
      <c r="R134" s="6">
        <v>0.0</v>
      </c>
      <c r="S134" s="6">
        <v>900.0</v>
      </c>
      <c r="T134" s="6">
        <v>270.0</v>
      </c>
      <c r="U134" s="6">
        <v>4.2</v>
      </c>
      <c r="V134" s="6">
        <v>106.0</v>
      </c>
      <c r="W134" s="6">
        <v>10.0</v>
      </c>
      <c r="X134" s="6" t="s">
        <v>182</v>
      </c>
      <c r="Y134" s="6">
        <v>10.0</v>
      </c>
    </row>
    <row r="135">
      <c r="A135" s="8">
        <v>45988.0</v>
      </c>
      <c r="B135" s="6">
        <v>4.512345678003E12</v>
      </c>
      <c r="C135" s="6" t="s">
        <v>110</v>
      </c>
      <c r="D135" s="6" t="s">
        <v>111</v>
      </c>
      <c r="E135" s="6" t="s">
        <v>112</v>
      </c>
      <c r="F135" s="6">
        <v>2506.0</v>
      </c>
      <c r="G135" s="6">
        <v>122.0</v>
      </c>
      <c r="H135" s="6">
        <v>142.0</v>
      </c>
      <c r="I135" s="6">
        <v>426000.0</v>
      </c>
      <c r="J135" s="6">
        <v>3000.0</v>
      </c>
      <c r="K135" s="6">
        <v>0.0</v>
      </c>
      <c r="L135" s="6">
        <v>4260.0</v>
      </c>
      <c r="M135" s="6">
        <v>0.0</v>
      </c>
      <c r="N135" s="6">
        <v>34080.0</v>
      </c>
      <c r="O135" s="6">
        <v>21300.0</v>
      </c>
      <c r="P135" s="6">
        <v>255600.0</v>
      </c>
      <c r="Q135" s="6">
        <v>61000.0</v>
      </c>
      <c r="R135" s="6">
        <v>0.0</v>
      </c>
      <c r="S135" s="6">
        <v>1800.0</v>
      </c>
      <c r="T135" s="6">
        <v>281.0</v>
      </c>
      <c r="U135" s="6">
        <v>4.8</v>
      </c>
      <c r="V135" s="6">
        <v>326.0</v>
      </c>
      <c r="W135" s="6">
        <v>1.0</v>
      </c>
      <c r="X135" s="6" t="s">
        <v>183</v>
      </c>
      <c r="Y135" s="6">
        <v>3.0</v>
      </c>
    </row>
    <row r="136">
      <c r="A136" s="8">
        <v>45988.0</v>
      </c>
      <c r="B136" s="6">
        <v>4.512345678004E12</v>
      </c>
      <c r="C136" s="6" t="s">
        <v>113</v>
      </c>
      <c r="D136" s="6" t="s">
        <v>114</v>
      </c>
      <c r="E136" s="6" t="s">
        <v>115</v>
      </c>
      <c r="F136" s="6">
        <v>505.0</v>
      </c>
      <c r="G136" s="6">
        <v>8.0</v>
      </c>
      <c r="H136" s="6">
        <v>8.0</v>
      </c>
      <c r="I136" s="6">
        <v>24000.0</v>
      </c>
      <c r="J136" s="6">
        <v>3000.0</v>
      </c>
      <c r="K136" s="6">
        <v>0.0</v>
      </c>
      <c r="L136" s="6">
        <v>240.0</v>
      </c>
      <c r="M136" s="6">
        <v>0.0</v>
      </c>
      <c r="N136" s="6">
        <v>1920.0</v>
      </c>
      <c r="O136" s="6">
        <v>3600.0</v>
      </c>
      <c r="P136" s="6">
        <v>14400.0</v>
      </c>
      <c r="Q136" s="6">
        <v>4000.0</v>
      </c>
      <c r="R136" s="6">
        <v>0.0</v>
      </c>
      <c r="S136" s="6">
        <v>600.0</v>
      </c>
      <c r="T136" s="6">
        <v>390.0</v>
      </c>
      <c r="U136" s="6">
        <v>4.1</v>
      </c>
      <c r="V136" s="6">
        <v>86.0</v>
      </c>
      <c r="W136" s="6">
        <v>13.0</v>
      </c>
      <c r="X136" s="6" t="s">
        <v>184</v>
      </c>
      <c r="Y136" s="6">
        <v>12.0</v>
      </c>
    </row>
    <row r="137">
      <c r="A137" s="8">
        <v>45988.0</v>
      </c>
      <c r="B137" s="6">
        <v>4.512345678005E12</v>
      </c>
      <c r="C137" s="6" t="s">
        <v>116</v>
      </c>
      <c r="D137" s="6" t="s">
        <v>117</v>
      </c>
      <c r="E137" s="6" t="s">
        <v>118</v>
      </c>
      <c r="F137" s="6">
        <v>41.0</v>
      </c>
      <c r="G137" s="6">
        <v>0.0</v>
      </c>
      <c r="H137" s="6">
        <v>0.0</v>
      </c>
      <c r="I137" s="6">
        <v>0.0</v>
      </c>
      <c r="J137" s="6">
        <v>4500.0</v>
      </c>
      <c r="K137" s="6">
        <v>0.0</v>
      </c>
      <c r="L137" s="6">
        <v>0.0</v>
      </c>
      <c r="M137" s="6">
        <v>0.0</v>
      </c>
      <c r="N137" s="6">
        <v>0.0</v>
      </c>
      <c r="O137" s="6">
        <v>500.0</v>
      </c>
      <c r="P137" s="6">
        <v>0.0</v>
      </c>
      <c r="Q137" s="6">
        <v>0.0</v>
      </c>
      <c r="R137" s="6">
        <v>0.0</v>
      </c>
      <c r="S137" s="6">
        <v>2000.0</v>
      </c>
      <c r="T137" s="6">
        <v>41.0</v>
      </c>
      <c r="U137" s="6">
        <v>4.5</v>
      </c>
      <c r="V137" s="6">
        <v>31.0</v>
      </c>
      <c r="W137" s="6">
        <v>32.0</v>
      </c>
      <c r="X137" s="6" t="s">
        <v>185</v>
      </c>
      <c r="Y137" s="6">
        <v>32.0</v>
      </c>
    </row>
    <row r="138">
      <c r="A138" s="8">
        <v>45989.0</v>
      </c>
      <c r="B138" s="6">
        <v>4.512345678001E12</v>
      </c>
      <c r="C138" s="6" t="s">
        <v>178</v>
      </c>
      <c r="D138" s="6" t="s">
        <v>179</v>
      </c>
      <c r="E138" s="6" t="s">
        <v>180</v>
      </c>
      <c r="F138" s="6">
        <v>1510.0</v>
      </c>
      <c r="G138" s="6">
        <v>37.0</v>
      </c>
      <c r="H138" s="6">
        <v>39.0</v>
      </c>
      <c r="I138" s="6">
        <v>195000.0</v>
      </c>
      <c r="J138" s="6">
        <v>5000.0</v>
      </c>
      <c r="K138" s="6">
        <v>0.0</v>
      </c>
      <c r="L138" s="6">
        <v>1950.0</v>
      </c>
      <c r="M138" s="6">
        <v>0.0</v>
      </c>
      <c r="N138" s="6">
        <v>15600.0</v>
      </c>
      <c r="O138" s="6">
        <v>19500.0</v>
      </c>
      <c r="P138" s="6">
        <v>117000.0</v>
      </c>
      <c r="Q138" s="6">
        <v>18500.0</v>
      </c>
      <c r="R138" s="6">
        <v>0.0</v>
      </c>
      <c r="S138" s="6">
        <v>2500.0</v>
      </c>
      <c r="T138" s="6">
        <v>47.0</v>
      </c>
      <c r="U138" s="6">
        <v>3.7</v>
      </c>
      <c r="V138" s="6">
        <v>177.0</v>
      </c>
      <c r="W138" s="6">
        <v>5.0</v>
      </c>
      <c r="X138" s="6" t="s">
        <v>181</v>
      </c>
      <c r="Y138" s="6">
        <v>1.0</v>
      </c>
    </row>
    <row r="139">
      <c r="A139" s="8">
        <v>45989.0</v>
      </c>
      <c r="B139" s="6">
        <v>4.512345678002E12</v>
      </c>
      <c r="C139" s="6" t="s">
        <v>106</v>
      </c>
      <c r="D139" s="6" t="s">
        <v>107</v>
      </c>
      <c r="E139" s="6" t="s">
        <v>108</v>
      </c>
      <c r="F139" s="6">
        <v>792.0</v>
      </c>
      <c r="G139" s="6">
        <v>17.0</v>
      </c>
      <c r="H139" s="6">
        <v>19.0</v>
      </c>
      <c r="I139" s="6">
        <v>57000.0</v>
      </c>
      <c r="J139" s="6">
        <v>3000.0</v>
      </c>
      <c r="K139" s="6">
        <v>0.0</v>
      </c>
      <c r="L139" s="6">
        <v>570.0</v>
      </c>
      <c r="M139" s="6">
        <v>0.0</v>
      </c>
      <c r="N139" s="6">
        <v>4560.0</v>
      </c>
      <c r="O139" s="6">
        <v>5700.0</v>
      </c>
      <c r="P139" s="6">
        <v>34200.0</v>
      </c>
      <c r="Q139" s="6">
        <v>8500.0</v>
      </c>
      <c r="R139" s="6">
        <v>0.0</v>
      </c>
      <c r="S139" s="6">
        <v>900.0</v>
      </c>
      <c r="T139" s="6">
        <v>251.0</v>
      </c>
      <c r="U139" s="6">
        <v>4.9</v>
      </c>
      <c r="V139" s="6">
        <v>107.0</v>
      </c>
      <c r="W139" s="6">
        <v>11.0</v>
      </c>
      <c r="X139" s="6" t="s">
        <v>182</v>
      </c>
      <c r="Y139" s="6">
        <v>6.0</v>
      </c>
    </row>
    <row r="140">
      <c r="A140" s="8">
        <v>45989.0</v>
      </c>
      <c r="B140" s="6">
        <v>4.512345678003E12</v>
      </c>
      <c r="C140" s="6" t="s">
        <v>110</v>
      </c>
      <c r="D140" s="6" t="s">
        <v>111</v>
      </c>
      <c r="E140" s="6" t="s">
        <v>112</v>
      </c>
      <c r="F140" s="6">
        <v>3318.0</v>
      </c>
      <c r="G140" s="6">
        <v>155.0</v>
      </c>
      <c r="H140" s="6">
        <v>176.0</v>
      </c>
      <c r="I140" s="6">
        <v>528000.0</v>
      </c>
      <c r="J140" s="6">
        <v>3000.0</v>
      </c>
      <c r="K140" s="6">
        <v>0.0</v>
      </c>
      <c r="L140" s="6">
        <v>5280.0</v>
      </c>
      <c r="M140" s="6">
        <v>0.0</v>
      </c>
      <c r="N140" s="6">
        <v>42240.0</v>
      </c>
      <c r="O140" s="6">
        <v>26400.0</v>
      </c>
      <c r="P140" s="6">
        <v>316800.0</v>
      </c>
      <c r="Q140" s="6">
        <v>77500.0</v>
      </c>
      <c r="R140" s="6">
        <v>0.0</v>
      </c>
      <c r="S140" s="6">
        <v>1800.0</v>
      </c>
      <c r="T140" s="6">
        <v>105.0</v>
      </c>
      <c r="U140" s="6">
        <v>3.9</v>
      </c>
      <c r="V140" s="6">
        <v>327.0</v>
      </c>
      <c r="W140" s="6">
        <v>1.0</v>
      </c>
      <c r="X140" s="6" t="s">
        <v>183</v>
      </c>
      <c r="Y140" s="6">
        <v>1.0</v>
      </c>
    </row>
    <row r="141">
      <c r="A141" s="8">
        <v>45989.0</v>
      </c>
      <c r="B141" s="6">
        <v>4.512345678004E12</v>
      </c>
      <c r="C141" s="6" t="s">
        <v>113</v>
      </c>
      <c r="D141" s="6" t="s">
        <v>114</v>
      </c>
      <c r="E141" s="6" t="s">
        <v>115</v>
      </c>
      <c r="F141" s="6">
        <v>497.0</v>
      </c>
      <c r="G141" s="6">
        <v>8.0</v>
      </c>
      <c r="H141" s="6">
        <v>9.0</v>
      </c>
      <c r="I141" s="6">
        <v>27000.0</v>
      </c>
      <c r="J141" s="6">
        <v>3000.0</v>
      </c>
      <c r="K141" s="6">
        <v>0.0</v>
      </c>
      <c r="L141" s="6">
        <v>270.0</v>
      </c>
      <c r="M141" s="6">
        <v>800.0</v>
      </c>
      <c r="N141" s="6">
        <v>2160.0</v>
      </c>
      <c r="O141" s="6">
        <v>4050.0</v>
      </c>
      <c r="P141" s="6">
        <v>16200.0</v>
      </c>
      <c r="Q141" s="6">
        <v>4000.0</v>
      </c>
      <c r="R141" s="6">
        <v>0.0</v>
      </c>
      <c r="S141" s="6">
        <v>600.0</v>
      </c>
      <c r="T141" s="6">
        <v>381.0</v>
      </c>
      <c r="U141" s="6">
        <v>4.1</v>
      </c>
      <c r="V141" s="6">
        <v>87.0</v>
      </c>
      <c r="W141" s="6">
        <v>13.0</v>
      </c>
      <c r="X141" s="6" t="s">
        <v>184</v>
      </c>
      <c r="Y141" s="6">
        <v>9.0</v>
      </c>
    </row>
    <row r="142">
      <c r="A142" s="8">
        <v>45989.0</v>
      </c>
      <c r="B142" s="6">
        <v>4.512345678005E12</v>
      </c>
      <c r="C142" s="6" t="s">
        <v>116</v>
      </c>
      <c r="D142" s="6" t="s">
        <v>117</v>
      </c>
      <c r="E142" s="6" t="s">
        <v>118</v>
      </c>
      <c r="F142" s="6">
        <v>58.0</v>
      </c>
      <c r="G142" s="6">
        <v>0.0</v>
      </c>
      <c r="H142" s="6">
        <v>0.0</v>
      </c>
      <c r="I142" s="6">
        <v>0.0</v>
      </c>
      <c r="J142" s="6">
        <v>4500.0</v>
      </c>
      <c r="K142" s="6">
        <v>0.0</v>
      </c>
      <c r="L142" s="6">
        <v>0.0</v>
      </c>
      <c r="M142" s="6">
        <v>0.0</v>
      </c>
      <c r="N142" s="6">
        <v>0.0</v>
      </c>
      <c r="O142" s="6">
        <v>500.0</v>
      </c>
      <c r="P142" s="6">
        <v>0.0</v>
      </c>
      <c r="Q142" s="6">
        <v>0.0</v>
      </c>
      <c r="R142" s="6">
        <v>0.0</v>
      </c>
      <c r="S142" s="6">
        <v>2000.0</v>
      </c>
      <c r="T142" s="6">
        <v>41.0</v>
      </c>
      <c r="U142" s="6">
        <v>4.7</v>
      </c>
      <c r="V142" s="6">
        <v>32.0</v>
      </c>
      <c r="W142" s="6">
        <v>31.0</v>
      </c>
      <c r="X142" s="6" t="s">
        <v>185</v>
      </c>
      <c r="Y142" s="6">
        <v>29.0</v>
      </c>
    </row>
    <row r="143">
      <c r="A143" s="8">
        <v>45990.0</v>
      </c>
      <c r="B143" s="6">
        <v>4.512345678001E12</v>
      </c>
      <c r="C143" s="6" t="s">
        <v>178</v>
      </c>
      <c r="D143" s="6" t="s">
        <v>179</v>
      </c>
      <c r="E143" s="6" t="s">
        <v>180</v>
      </c>
      <c r="F143" s="6">
        <v>2148.0</v>
      </c>
      <c r="G143" s="6">
        <v>56.0</v>
      </c>
      <c r="H143" s="6">
        <v>64.0</v>
      </c>
      <c r="I143" s="6">
        <v>320000.0</v>
      </c>
      <c r="J143" s="6">
        <v>5000.0</v>
      </c>
      <c r="K143" s="6">
        <v>0.0</v>
      </c>
      <c r="L143" s="6">
        <v>3200.0</v>
      </c>
      <c r="M143" s="6">
        <v>0.0</v>
      </c>
      <c r="N143" s="6">
        <v>25600.0</v>
      </c>
      <c r="O143" s="6">
        <v>32000.0</v>
      </c>
      <c r="P143" s="6">
        <v>192000.0</v>
      </c>
      <c r="Q143" s="6">
        <v>28000.0</v>
      </c>
      <c r="R143" s="6">
        <v>0.0</v>
      </c>
      <c r="S143" s="6">
        <v>2500.0</v>
      </c>
      <c r="T143" s="6">
        <v>483.0</v>
      </c>
      <c r="U143" s="6">
        <v>4.1</v>
      </c>
      <c r="V143" s="6">
        <v>178.0</v>
      </c>
      <c r="W143" s="6">
        <v>6.0</v>
      </c>
      <c r="X143" s="6" t="s">
        <v>181</v>
      </c>
      <c r="Y143" s="6">
        <v>5.0</v>
      </c>
    </row>
    <row r="144">
      <c r="A144" s="8">
        <v>45990.0</v>
      </c>
      <c r="B144" s="6">
        <v>4.512345678002E12</v>
      </c>
      <c r="C144" s="6" t="s">
        <v>106</v>
      </c>
      <c r="D144" s="6" t="s">
        <v>107</v>
      </c>
      <c r="E144" s="6" t="s">
        <v>108</v>
      </c>
      <c r="F144" s="6">
        <v>778.0</v>
      </c>
      <c r="G144" s="6">
        <v>26.0</v>
      </c>
      <c r="H144" s="6">
        <v>26.0</v>
      </c>
      <c r="I144" s="6">
        <v>78000.0</v>
      </c>
      <c r="J144" s="6">
        <v>3000.0</v>
      </c>
      <c r="K144" s="6">
        <v>0.0</v>
      </c>
      <c r="L144" s="6">
        <v>780.0</v>
      </c>
      <c r="M144" s="6">
        <v>0.0</v>
      </c>
      <c r="N144" s="6">
        <v>6240.0</v>
      </c>
      <c r="O144" s="6">
        <v>7800.0</v>
      </c>
      <c r="P144" s="6">
        <v>46800.0</v>
      </c>
      <c r="Q144" s="6">
        <v>13000.0</v>
      </c>
      <c r="R144" s="6">
        <v>0.0</v>
      </c>
      <c r="S144" s="6">
        <v>900.0</v>
      </c>
      <c r="T144" s="6">
        <v>225.0</v>
      </c>
      <c r="U144" s="6">
        <v>5.0</v>
      </c>
      <c r="V144" s="6">
        <v>108.0</v>
      </c>
      <c r="W144" s="6">
        <v>10.0</v>
      </c>
      <c r="X144" s="6" t="s">
        <v>182</v>
      </c>
      <c r="Y144" s="6">
        <v>8.0</v>
      </c>
    </row>
    <row r="145">
      <c r="A145" s="8">
        <v>45990.0</v>
      </c>
      <c r="B145" s="6">
        <v>4.512345678003E12</v>
      </c>
      <c r="C145" s="6" t="s">
        <v>110</v>
      </c>
      <c r="D145" s="6" t="s">
        <v>111</v>
      </c>
      <c r="E145" s="6" t="s">
        <v>112</v>
      </c>
      <c r="F145" s="6">
        <v>3405.0</v>
      </c>
      <c r="G145" s="6">
        <v>170.0</v>
      </c>
      <c r="H145" s="6">
        <v>201.0</v>
      </c>
      <c r="I145" s="6">
        <v>603000.0</v>
      </c>
      <c r="J145" s="6">
        <v>3000.0</v>
      </c>
      <c r="K145" s="6">
        <v>0.0</v>
      </c>
      <c r="L145" s="6">
        <v>6030.0</v>
      </c>
      <c r="M145" s="6">
        <v>0.0</v>
      </c>
      <c r="N145" s="6">
        <v>48240.0</v>
      </c>
      <c r="O145" s="6">
        <v>30150.0</v>
      </c>
      <c r="P145" s="6">
        <v>361800.0</v>
      </c>
      <c r="Q145" s="6">
        <v>85000.0</v>
      </c>
      <c r="R145" s="6">
        <v>0.0</v>
      </c>
      <c r="S145" s="6">
        <v>1800.0</v>
      </c>
      <c r="T145" s="6">
        <v>404.0</v>
      </c>
      <c r="U145" s="6">
        <v>3.9</v>
      </c>
      <c r="V145" s="6">
        <v>328.0</v>
      </c>
      <c r="W145" s="6">
        <v>1.0</v>
      </c>
      <c r="X145" s="6" t="s">
        <v>183</v>
      </c>
      <c r="Y145" s="6">
        <v>1.0</v>
      </c>
    </row>
    <row r="146">
      <c r="A146" s="8">
        <v>45990.0</v>
      </c>
      <c r="B146" s="6">
        <v>4.512345678004E12</v>
      </c>
      <c r="C146" s="6" t="s">
        <v>113</v>
      </c>
      <c r="D146" s="6" t="s">
        <v>114</v>
      </c>
      <c r="E146" s="6" t="s">
        <v>115</v>
      </c>
      <c r="F146" s="6">
        <v>588.0</v>
      </c>
      <c r="G146" s="6">
        <v>13.0</v>
      </c>
      <c r="H146" s="6">
        <v>13.0</v>
      </c>
      <c r="I146" s="6">
        <v>39000.0</v>
      </c>
      <c r="J146" s="6">
        <v>3000.0</v>
      </c>
      <c r="K146" s="6">
        <v>0.0</v>
      </c>
      <c r="L146" s="6">
        <v>390.0</v>
      </c>
      <c r="M146" s="6">
        <v>0.0</v>
      </c>
      <c r="N146" s="6">
        <v>3120.0</v>
      </c>
      <c r="O146" s="6">
        <v>5850.0</v>
      </c>
      <c r="P146" s="6">
        <v>23400.0</v>
      </c>
      <c r="Q146" s="6">
        <v>6500.0</v>
      </c>
      <c r="R146" s="6">
        <v>0.0</v>
      </c>
      <c r="S146" s="6">
        <v>600.0</v>
      </c>
      <c r="T146" s="6">
        <v>368.0</v>
      </c>
      <c r="U146" s="6">
        <v>4.2</v>
      </c>
      <c r="V146" s="6">
        <v>88.0</v>
      </c>
      <c r="W146" s="6">
        <v>19.0</v>
      </c>
      <c r="X146" s="6" t="s">
        <v>184</v>
      </c>
      <c r="Y146" s="6">
        <v>15.0</v>
      </c>
    </row>
    <row r="147">
      <c r="A147" s="8">
        <v>45990.0</v>
      </c>
      <c r="B147" s="6">
        <v>4.512345678005E12</v>
      </c>
      <c r="C147" s="6" t="s">
        <v>116</v>
      </c>
      <c r="D147" s="6" t="s">
        <v>117</v>
      </c>
      <c r="E147" s="6" t="s">
        <v>118</v>
      </c>
      <c r="F147" s="6">
        <v>63.0</v>
      </c>
      <c r="G147" s="6">
        <v>1.0</v>
      </c>
      <c r="H147" s="6">
        <v>1.0</v>
      </c>
      <c r="I147" s="6">
        <v>4500.0</v>
      </c>
      <c r="J147" s="6">
        <v>4500.0</v>
      </c>
      <c r="K147" s="6">
        <v>0.0</v>
      </c>
      <c r="L147" s="6">
        <v>45.0</v>
      </c>
      <c r="M147" s="6">
        <v>0.0</v>
      </c>
      <c r="N147" s="6">
        <v>360.0</v>
      </c>
      <c r="O147" s="6">
        <v>0.0</v>
      </c>
      <c r="P147" s="6">
        <v>2700.0</v>
      </c>
      <c r="Q147" s="6">
        <v>500.0</v>
      </c>
      <c r="R147" s="6">
        <v>0.0</v>
      </c>
      <c r="S147" s="6">
        <v>2000.0</v>
      </c>
      <c r="T147" s="6">
        <v>40.0</v>
      </c>
      <c r="U147" s="6">
        <v>4.6</v>
      </c>
      <c r="V147" s="6">
        <v>33.0</v>
      </c>
      <c r="W147" s="6">
        <v>37.0</v>
      </c>
      <c r="X147" s="6" t="s">
        <v>185</v>
      </c>
      <c r="Y147" s="6">
        <v>37.0</v>
      </c>
    </row>
    <row r="148">
      <c r="A148" s="8">
        <v>45991.0</v>
      </c>
      <c r="B148" s="6">
        <v>4.512345678001E12</v>
      </c>
      <c r="C148" s="6" t="s">
        <v>178</v>
      </c>
      <c r="D148" s="6" t="s">
        <v>179</v>
      </c>
      <c r="E148" s="6" t="s">
        <v>180</v>
      </c>
      <c r="F148" s="6">
        <v>1962.0</v>
      </c>
      <c r="G148" s="6">
        <v>54.0</v>
      </c>
      <c r="H148" s="6">
        <v>63.0</v>
      </c>
      <c r="I148" s="6">
        <v>315000.0</v>
      </c>
      <c r="J148" s="6">
        <v>5000.0</v>
      </c>
      <c r="K148" s="6">
        <v>0.0</v>
      </c>
      <c r="L148" s="6">
        <v>3150.0</v>
      </c>
      <c r="M148" s="6">
        <v>0.0</v>
      </c>
      <c r="N148" s="6">
        <v>25200.0</v>
      </c>
      <c r="O148" s="6">
        <v>31500.0</v>
      </c>
      <c r="P148" s="6">
        <v>189000.0</v>
      </c>
      <c r="Q148" s="6">
        <v>27000.0</v>
      </c>
      <c r="R148" s="6">
        <v>0.0</v>
      </c>
      <c r="S148" s="6">
        <v>2500.0</v>
      </c>
      <c r="T148" s="6">
        <v>420.0</v>
      </c>
      <c r="U148" s="6">
        <v>3.8</v>
      </c>
      <c r="V148" s="6">
        <v>179.0</v>
      </c>
      <c r="W148" s="6">
        <v>2.0</v>
      </c>
      <c r="X148" s="6" t="s">
        <v>181</v>
      </c>
      <c r="Y148" s="6">
        <v>4.0</v>
      </c>
    </row>
    <row r="149">
      <c r="A149" s="8">
        <v>45991.0</v>
      </c>
      <c r="B149" s="6">
        <v>4.512345678002E12</v>
      </c>
      <c r="C149" s="6" t="s">
        <v>106</v>
      </c>
      <c r="D149" s="6" t="s">
        <v>107</v>
      </c>
      <c r="E149" s="6" t="s">
        <v>108</v>
      </c>
      <c r="F149" s="6">
        <v>858.0</v>
      </c>
      <c r="G149" s="6">
        <v>11.0</v>
      </c>
      <c r="H149" s="6">
        <v>11.0</v>
      </c>
      <c r="I149" s="6">
        <v>33000.0</v>
      </c>
      <c r="J149" s="6">
        <v>3000.0</v>
      </c>
      <c r="K149" s="6">
        <v>0.0</v>
      </c>
      <c r="L149" s="6">
        <v>330.0</v>
      </c>
      <c r="M149" s="6">
        <v>1100.0</v>
      </c>
      <c r="N149" s="6">
        <v>2640.0</v>
      </c>
      <c r="O149" s="6">
        <v>3300.0</v>
      </c>
      <c r="P149" s="6">
        <v>19800.0</v>
      </c>
      <c r="Q149" s="6">
        <v>5500.0</v>
      </c>
      <c r="R149" s="6">
        <v>0.0</v>
      </c>
      <c r="S149" s="6">
        <v>900.0</v>
      </c>
      <c r="T149" s="6">
        <v>214.0</v>
      </c>
      <c r="U149" s="6">
        <v>4.1</v>
      </c>
      <c r="V149" s="6">
        <v>109.0</v>
      </c>
      <c r="W149" s="6">
        <v>12.0</v>
      </c>
      <c r="X149" s="6" t="s">
        <v>182</v>
      </c>
      <c r="Y149" s="6">
        <v>8.0</v>
      </c>
    </row>
    <row r="150">
      <c r="A150" s="8">
        <v>45991.0</v>
      </c>
      <c r="B150" s="6">
        <v>4.512345678003E12</v>
      </c>
      <c r="C150" s="6" t="s">
        <v>110</v>
      </c>
      <c r="D150" s="6" t="s">
        <v>111</v>
      </c>
      <c r="E150" s="6" t="s">
        <v>112</v>
      </c>
      <c r="F150" s="6">
        <v>3512.0</v>
      </c>
      <c r="G150" s="6">
        <v>171.0</v>
      </c>
      <c r="H150" s="6">
        <v>190.0</v>
      </c>
      <c r="I150" s="6">
        <v>570000.0</v>
      </c>
      <c r="J150" s="6">
        <v>3000.0</v>
      </c>
      <c r="K150" s="6">
        <v>0.0</v>
      </c>
      <c r="L150" s="6">
        <v>5700.0</v>
      </c>
      <c r="M150" s="6">
        <v>0.0</v>
      </c>
      <c r="N150" s="6">
        <v>45600.0</v>
      </c>
      <c r="O150" s="6">
        <v>28500.0</v>
      </c>
      <c r="P150" s="6">
        <v>342000.0</v>
      </c>
      <c r="Q150" s="6">
        <v>85500.0</v>
      </c>
      <c r="R150" s="6">
        <v>0.0</v>
      </c>
      <c r="S150" s="6">
        <v>1800.0</v>
      </c>
      <c r="T150" s="6">
        <v>214.0</v>
      </c>
      <c r="U150" s="6">
        <v>4.6</v>
      </c>
      <c r="V150" s="6">
        <v>329.0</v>
      </c>
      <c r="W150" s="6">
        <v>3.0</v>
      </c>
      <c r="X150" s="6" t="s">
        <v>183</v>
      </c>
      <c r="Y150" s="6">
        <v>1.0</v>
      </c>
    </row>
    <row r="151">
      <c r="A151" s="8">
        <v>45991.0</v>
      </c>
      <c r="B151" s="6">
        <v>4.512345678004E12</v>
      </c>
      <c r="C151" s="6" t="s">
        <v>113</v>
      </c>
      <c r="D151" s="6" t="s">
        <v>114</v>
      </c>
      <c r="E151" s="6" t="s">
        <v>115</v>
      </c>
      <c r="F151" s="6">
        <v>669.0</v>
      </c>
      <c r="G151" s="6">
        <v>11.0</v>
      </c>
      <c r="H151" s="6">
        <v>12.0</v>
      </c>
      <c r="I151" s="6">
        <v>36000.0</v>
      </c>
      <c r="J151" s="6">
        <v>3000.0</v>
      </c>
      <c r="K151" s="6">
        <v>0.0</v>
      </c>
      <c r="L151" s="6">
        <v>360.0</v>
      </c>
      <c r="M151" s="6">
        <v>0.0</v>
      </c>
      <c r="N151" s="6">
        <v>2880.0</v>
      </c>
      <c r="O151" s="6">
        <v>5400.0</v>
      </c>
      <c r="P151" s="6">
        <v>21600.0</v>
      </c>
      <c r="Q151" s="6">
        <v>5500.0</v>
      </c>
      <c r="R151" s="6">
        <v>0.0</v>
      </c>
      <c r="S151" s="6">
        <v>600.0</v>
      </c>
      <c r="T151" s="6">
        <v>356.0</v>
      </c>
      <c r="U151" s="6">
        <v>3.6</v>
      </c>
      <c r="V151" s="6">
        <v>89.0</v>
      </c>
      <c r="W151" s="6">
        <v>11.0</v>
      </c>
      <c r="X151" s="6" t="s">
        <v>184</v>
      </c>
      <c r="Y151" s="6">
        <v>10.0</v>
      </c>
    </row>
    <row r="152">
      <c r="A152" s="8">
        <v>45991.0</v>
      </c>
      <c r="B152" s="6">
        <v>4.512345678005E12</v>
      </c>
      <c r="C152" s="6" t="s">
        <v>116</v>
      </c>
      <c r="D152" s="6" t="s">
        <v>117</v>
      </c>
      <c r="E152" s="6" t="s">
        <v>118</v>
      </c>
      <c r="F152" s="6">
        <v>50.0</v>
      </c>
      <c r="G152" s="6">
        <v>1.0</v>
      </c>
      <c r="H152" s="6">
        <v>1.0</v>
      </c>
      <c r="I152" s="6">
        <v>4500.0</v>
      </c>
      <c r="J152" s="6">
        <v>4500.0</v>
      </c>
      <c r="K152" s="6">
        <v>0.0</v>
      </c>
      <c r="L152" s="6">
        <v>45.0</v>
      </c>
      <c r="M152" s="6">
        <v>0.0</v>
      </c>
      <c r="N152" s="6">
        <v>360.0</v>
      </c>
      <c r="O152" s="6">
        <v>0.0</v>
      </c>
      <c r="P152" s="6">
        <v>2700.0</v>
      </c>
      <c r="Q152" s="6">
        <v>500.0</v>
      </c>
      <c r="R152" s="6">
        <v>0.0</v>
      </c>
      <c r="S152" s="6">
        <v>2000.0</v>
      </c>
      <c r="T152" s="6">
        <v>39.0</v>
      </c>
      <c r="U152" s="6">
        <v>4.2</v>
      </c>
      <c r="V152" s="6">
        <v>34.0</v>
      </c>
      <c r="W152" s="6">
        <v>36.0</v>
      </c>
      <c r="X152" s="6" t="s">
        <v>185</v>
      </c>
      <c r="Y152" s="6">
        <v>32.0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>
      <c r="A2" s="1" t="s">
        <v>54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</row>
    <row r="3">
      <c r="B3" s="9">
        <v>0.0243161094224924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>
      <c r="A2" s="1" t="s">
        <v>186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1" t="s">
        <v>77</v>
      </c>
      <c r="X2" s="1" t="s">
        <v>78</v>
      </c>
      <c r="Y2" s="1" t="s">
        <v>79</v>
      </c>
      <c r="Z2" s="1" t="s">
        <v>80</v>
      </c>
      <c r="AA2" s="1" t="s">
        <v>81</v>
      </c>
      <c r="AB2" s="1" t="s">
        <v>82</v>
      </c>
      <c r="AC2" s="1" t="s">
        <v>83</v>
      </c>
      <c r="AD2" s="1" t="s">
        <v>84</v>
      </c>
      <c r="AE2" s="1" t="s">
        <v>85</v>
      </c>
    </row>
    <row r="3">
      <c r="A3" s="6">
        <f>IFERROR(__xludf.DUMMYFUNCTION("SORT(UNIQUE(FILTER(rakuten_fact_daily_raw!B3:B1000, rakuten_fact_daily_raw!B3:B1000&lt;&gt;"""")))
"),4.512345678001E12)</f>
        <v>4512345678001</v>
      </c>
      <c r="B3" s="4" t="str">
        <f>IFERROR(__xludf.DUMMYFUNCTION("LET(
  v_hdr,  rakuten_view!A1:ZZ1,
  v_data, rakuten_view!A2:ZZ1000,
  jan_in, TO_TEXT(A3:A1000),
  v_jan,  TO_TEXT(INDEX(v_data,,MATCH(""Jan"", v_hdr, 0))),
  v_sku,  INDEX(v_data,,MATCH(""sku"", v_hdr, 0)),
  MAP(jan_in, LAMBDA(j,
    IF(j="""","""""&amp;", IFERROR(XLOOKUP(j, v_jan, v_sku, """"), """"))
  ))
)
"),"")</f>
        <v/>
      </c>
    </row>
    <row r="4">
      <c r="A4" s="4">
        <f>IFERROR(__xludf.DUMMYFUNCTION("""COMPUTED_VALUE"""),4.512345678002E12)</f>
        <v>4512345678002</v>
      </c>
    </row>
    <row r="5">
      <c r="A5" s="4">
        <f>IFERROR(__xludf.DUMMYFUNCTION("""COMPUTED_VALUE"""),4.512345678003E12)</f>
        <v>4512345678003</v>
      </c>
    </row>
    <row r="6">
      <c r="A6" s="4">
        <f>IFERROR(__xludf.DUMMYFUNCTION("""COMPUTED_VALUE"""),4.512345678004E12)</f>
        <v>4512345678004</v>
      </c>
    </row>
    <row r="7">
      <c r="A7" s="4">
        <f>IFERROR(__xludf.DUMMYFUNCTION("""COMPUTED_VALUE"""),4.512345678005E12)</f>
        <v>4512345678005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</row>
    <row r="2">
      <c r="A2" s="1" t="s">
        <v>186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101</v>
      </c>
      <c r="AB2" s="1" t="s">
        <v>102</v>
      </c>
      <c r="AC2" s="1" t="s">
        <v>103</v>
      </c>
      <c r="AD2" s="1" t="s">
        <v>104</v>
      </c>
      <c r="AE2" s="1" t="s">
        <v>105</v>
      </c>
    </row>
    <row r="3">
      <c r="A3" s="4" t="str">
        <f>IFERROR(__xludf.DUMMYFUNCTION("LET(
  asof, MAX(rakuten_fact_daily_raw!A3:A1000),
  start, asof-29,
  r, FILTER(rakuten_fact_daily_raw!A3:Y1000, rakuten_fact_daily_raw!A3:A1000&gt;=start),
  QUERY(
    r,
    ""select Col2, max(Col3), max(Col4), max(Col5),
            sum(Col6), sum(Col7)"&amp;", sum(Col8), sum(Col9),
            sum(Col11), sum(Col12), sum(Col13),
            sum(Col14), sum(Col15),
            sum(Col16), sum(Col17), sum(Col18), sum(Col19)
     where Col2 is not null
     group by Col2
     label
       Col2 'jan',
       max("&amp;"Col3) 'sku',
       max(Col4) 'rakuten_item_id',
       max(Col5) 'item_name',
       sum(Col6) 'sessions_30d',
       sum(Col7) 'orders_30d',
       sum(Col8) 'units_sold_30d',
       sum(Col9) 'sales_net_30d',
       sum(Col11) 'discount_amount_30d',
  "&amp;"     sum(Col12) 'points_amount_30d',
       sum(Col13) 'coupon_issue_fee_30d',
       sum(Col14) 'ad_spend_30d',
       sum(Col15) 'ad_sales_30d',
       sum(Col16) 'platform_fee_30d',
       sum(Col17) 'shipping_cost_30d',
       sum(Col18) 'other_fee_30"&amp;"d',
       sum(Col19) 'cogs_30d'"",
    0
  )
)
"),"jan")</f>
        <v>jan</v>
      </c>
      <c r="B3" s="4" t="str">
        <f>IFERROR(__xludf.DUMMYFUNCTION("""COMPUTED_VALUE"""),"sku")</f>
        <v>sku</v>
      </c>
      <c r="C3" s="4" t="str">
        <f>IFERROR(__xludf.DUMMYFUNCTION("""COMPUTED_VALUE"""),"rakuten_item_id")</f>
        <v>rakuten_item_id</v>
      </c>
      <c r="D3" s="4" t="str">
        <f>IFERROR(__xludf.DUMMYFUNCTION("""COMPUTED_VALUE"""),"item_name")</f>
        <v>item_name</v>
      </c>
      <c r="E3" s="4" t="str">
        <f>IFERROR(__xludf.DUMMYFUNCTION("""COMPUTED_VALUE"""),"sessions_30d")</f>
        <v>sessions_30d</v>
      </c>
      <c r="F3" s="4" t="str">
        <f>IFERROR(__xludf.DUMMYFUNCTION("""COMPUTED_VALUE"""),"orders_30d")</f>
        <v>orders_30d</v>
      </c>
      <c r="G3" s="4" t="str">
        <f>IFERROR(__xludf.DUMMYFUNCTION("""COMPUTED_VALUE"""),"units_sold_30d")</f>
        <v>units_sold_30d</v>
      </c>
      <c r="H3" s="4" t="str">
        <f>IFERROR(__xludf.DUMMYFUNCTION("""COMPUTED_VALUE"""),"sales_net_30d")</f>
        <v>sales_net_30d</v>
      </c>
      <c r="I3" s="4" t="str">
        <f>IFERROR(__xludf.DUMMYFUNCTION("""COMPUTED_VALUE"""),"discount_amount_30d")</f>
        <v>discount_amount_30d</v>
      </c>
      <c r="J3" s="4" t="str">
        <f>IFERROR(__xludf.DUMMYFUNCTION("""COMPUTED_VALUE"""),"points_amount_30d")</f>
        <v>points_amount_30d</v>
      </c>
      <c r="K3" s="4" t="str">
        <f>IFERROR(__xludf.DUMMYFUNCTION("""COMPUTED_VALUE"""),"coupon_issue_fee_30d")</f>
        <v>coupon_issue_fee_30d</v>
      </c>
      <c r="L3" s="4" t="str">
        <f>IFERROR(__xludf.DUMMYFUNCTION("""COMPUTED_VALUE"""),"ad_spend_30d")</f>
        <v>ad_spend_30d</v>
      </c>
      <c r="M3" s="4" t="str">
        <f>IFERROR(__xludf.DUMMYFUNCTION("""COMPUTED_VALUE"""),"ad_sales_30d")</f>
        <v>ad_sales_30d</v>
      </c>
      <c r="N3" s="4" t="str">
        <f>IFERROR(__xludf.DUMMYFUNCTION("""COMPUTED_VALUE"""),"platform_fee_30d")</f>
        <v>platform_fee_30d</v>
      </c>
      <c r="O3" s="4" t="str">
        <f>IFERROR(__xludf.DUMMYFUNCTION("""COMPUTED_VALUE"""),"shipping_cost_30d")</f>
        <v>shipping_cost_30d</v>
      </c>
      <c r="P3" s="4" t="str">
        <f>IFERROR(__xludf.DUMMYFUNCTION("""COMPUTED_VALUE"""),"other_fee_30d")</f>
        <v>other_fee_30d</v>
      </c>
      <c r="Q3" s="4" t="str">
        <f>IFERROR(__xludf.DUMMYFUNCTION("""COMPUTED_VALUE"""),"cogs_30d")</f>
        <v>cogs_30d</v>
      </c>
    </row>
    <row r="4">
      <c r="A4" s="4">
        <f>IFERROR(__xludf.DUMMYFUNCTION("""COMPUTED_VALUE"""),4.512345678001E12)</f>
        <v>4512345678001</v>
      </c>
      <c r="B4" s="4" t="str">
        <f>IFERROR(__xludf.DUMMYFUNCTION("""COMPUTED_VALUE"""),"SKU-A001")</f>
        <v>SKU-A001</v>
      </c>
      <c r="C4" s="4" t="str">
        <f>IFERROR(__xludf.DUMMYFUNCTION("""COMPUTED_VALUE"""),"item_001")</f>
        <v>item_001</v>
      </c>
      <c r="D4" s="4" t="str">
        <f>IFERROR(__xludf.DUMMYFUNCTION("""COMPUTED_VALUE"""),"ワイヤレスイヤホン Pro")</f>
        <v>ワイヤレスイヤホン Pro</v>
      </c>
      <c r="E4" s="4">
        <f>IFERROR(__xludf.DUMMYFUNCTION("""COMPUTED_VALUE"""),48422.0)</f>
        <v>48422</v>
      </c>
      <c r="F4" s="4">
        <f>IFERROR(__xludf.DUMMYFUNCTION("""COMPUTED_VALUE"""),1465.0)</f>
        <v>1465</v>
      </c>
      <c r="G4" s="4">
        <f>IFERROR(__xludf.DUMMYFUNCTION("""COMPUTED_VALUE"""),1580.0)</f>
        <v>1580</v>
      </c>
      <c r="H4" s="4">
        <f>IFERROR(__xludf.DUMMYFUNCTION("""COMPUTED_VALUE"""),7900000.0)</f>
        <v>7900000</v>
      </c>
      <c r="I4" s="4">
        <f>IFERROR(__xludf.DUMMYFUNCTION("""COMPUTED_VALUE"""),0.0)</f>
        <v>0</v>
      </c>
      <c r="J4" s="4">
        <f>IFERROR(__xludf.DUMMYFUNCTION("""COMPUTED_VALUE"""),79000.0)</f>
        <v>79000</v>
      </c>
      <c r="K4" s="4">
        <f>IFERROR(__xludf.DUMMYFUNCTION("""COMPUTED_VALUE"""),29700.0)</f>
        <v>29700</v>
      </c>
      <c r="L4" s="4">
        <f>IFERROR(__xludf.DUMMYFUNCTION("""COMPUTED_VALUE"""),632000.0)</f>
        <v>632000</v>
      </c>
      <c r="M4" s="4">
        <f>IFERROR(__xludf.DUMMYFUNCTION("""COMPUTED_VALUE"""),790000.0)</f>
        <v>790000</v>
      </c>
      <c r="N4" s="4">
        <f>IFERROR(__xludf.DUMMYFUNCTION("""COMPUTED_VALUE"""),4740000.0)</f>
        <v>4740000</v>
      </c>
      <c r="O4" s="4">
        <f>IFERROR(__xludf.DUMMYFUNCTION("""COMPUTED_VALUE"""),732500.0)</f>
        <v>732500</v>
      </c>
      <c r="P4" s="4">
        <f>IFERROR(__xludf.DUMMYFUNCTION("""COMPUTED_VALUE"""),0.0)</f>
        <v>0</v>
      </c>
      <c r="Q4" s="4">
        <f>IFERROR(__xludf.DUMMYFUNCTION("""COMPUTED_VALUE"""),75000.0)</f>
        <v>75000</v>
      </c>
    </row>
    <row r="5">
      <c r="A5" s="4">
        <f>IFERROR(__xludf.DUMMYFUNCTION("""COMPUTED_VALUE"""),4.512345678002E12)</f>
        <v>4512345678002</v>
      </c>
      <c r="B5" s="4" t="str">
        <f>IFERROR(__xludf.DUMMYFUNCTION("""COMPUTED_VALUE"""),"SKU-B005")</f>
        <v>SKU-B005</v>
      </c>
      <c r="C5" s="4" t="str">
        <f>IFERROR(__xludf.DUMMYFUNCTION("""COMPUTED_VALUE"""),"item_002")</f>
        <v>item_002</v>
      </c>
      <c r="D5" s="4" t="str">
        <f>IFERROR(__xludf.DUMMYFUNCTION("""COMPUTED_VALUE"""),"オーガニックコットンTシャツ")</f>
        <v>オーガニックコットンTシャツ</v>
      </c>
      <c r="E5" s="4">
        <f>IFERROR(__xludf.DUMMYFUNCTION("""COMPUTED_VALUE"""),25668.0)</f>
        <v>25668</v>
      </c>
      <c r="F5" s="4">
        <f>IFERROR(__xludf.DUMMYFUNCTION("""COMPUTED_VALUE"""),544.0)</f>
        <v>544</v>
      </c>
      <c r="G5" s="4">
        <f>IFERROR(__xludf.DUMMYFUNCTION("""COMPUTED_VALUE"""),586.0)</f>
        <v>586</v>
      </c>
      <c r="H5" s="4">
        <f>IFERROR(__xludf.DUMMYFUNCTION("""COMPUTED_VALUE"""),1758000.0)</f>
        <v>1758000</v>
      </c>
      <c r="I5" s="4">
        <f>IFERROR(__xludf.DUMMYFUNCTION("""COMPUTED_VALUE"""),0.0)</f>
        <v>0</v>
      </c>
      <c r="J5" s="4">
        <f>IFERROR(__xludf.DUMMYFUNCTION("""COMPUTED_VALUE"""),17580.0)</f>
        <v>17580</v>
      </c>
      <c r="K5" s="4">
        <f>IFERROR(__xludf.DUMMYFUNCTION("""COMPUTED_VALUE"""),6800.0)</f>
        <v>6800</v>
      </c>
      <c r="L5" s="4">
        <f>IFERROR(__xludf.DUMMYFUNCTION("""COMPUTED_VALUE"""),140640.0)</f>
        <v>140640</v>
      </c>
      <c r="M5" s="4">
        <f>IFERROR(__xludf.DUMMYFUNCTION("""COMPUTED_VALUE"""),175800.0)</f>
        <v>175800</v>
      </c>
      <c r="N5" s="4">
        <f>IFERROR(__xludf.DUMMYFUNCTION("""COMPUTED_VALUE"""),1054800.0)</f>
        <v>1054800</v>
      </c>
      <c r="O5" s="4">
        <f>IFERROR(__xludf.DUMMYFUNCTION("""COMPUTED_VALUE"""),272000.0)</f>
        <v>272000</v>
      </c>
      <c r="P5" s="4">
        <f>IFERROR(__xludf.DUMMYFUNCTION("""COMPUTED_VALUE"""),0.0)</f>
        <v>0</v>
      </c>
      <c r="Q5" s="4">
        <f>IFERROR(__xludf.DUMMYFUNCTION("""COMPUTED_VALUE"""),27000.0)</f>
        <v>27000</v>
      </c>
    </row>
    <row r="6">
      <c r="A6" s="4">
        <f>IFERROR(__xludf.DUMMYFUNCTION("""COMPUTED_VALUE"""),4.512345678003E12)</f>
        <v>4512345678003</v>
      </c>
      <c r="B6" s="4" t="str">
        <f>IFERROR(__xludf.DUMMYFUNCTION("""COMPUTED_VALUE"""),"SKU-C012")</f>
        <v>SKU-C012</v>
      </c>
      <c r="C6" s="4" t="str">
        <f>IFERROR(__xludf.DUMMYFUNCTION("""COMPUTED_VALUE"""),"item_003")</f>
        <v>item_003</v>
      </c>
      <c r="D6" s="4" t="str">
        <f>IFERROR(__xludf.DUMMYFUNCTION("""COMPUTED_VALUE"""),"国産コシヒカリ 5kg")</f>
        <v>国産コシヒカリ 5kg</v>
      </c>
      <c r="E6" s="4">
        <f>IFERROR(__xludf.DUMMYFUNCTION("""COMPUTED_VALUE"""),93910.0)</f>
        <v>93910</v>
      </c>
      <c r="F6" s="4">
        <f>IFERROR(__xludf.DUMMYFUNCTION("""COMPUTED_VALUE"""),4775.0)</f>
        <v>4775</v>
      </c>
      <c r="G6" s="4">
        <f>IFERROR(__xludf.DUMMYFUNCTION("""COMPUTED_VALUE"""),5286.0)</f>
        <v>5286</v>
      </c>
      <c r="H6" s="4">
        <f>IFERROR(__xludf.DUMMYFUNCTION("""COMPUTED_VALUE"""),1.5858E7)</f>
        <v>15858000</v>
      </c>
      <c r="I6" s="4">
        <f>IFERROR(__xludf.DUMMYFUNCTION("""COMPUTED_VALUE"""),0.0)</f>
        <v>0</v>
      </c>
      <c r="J6" s="4">
        <f>IFERROR(__xludf.DUMMYFUNCTION("""COMPUTED_VALUE"""),158580.0)</f>
        <v>158580</v>
      </c>
      <c r="K6" s="4">
        <f>IFERROR(__xludf.DUMMYFUNCTION("""COMPUTED_VALUE"""),148200.0)</f>
        <v>148200</v>
      </c>
      <c r="L6" s="4">
        <f>IFERROR(__xludf.DUMMYFUNCTION("""COMPUTED_VALUE"""),1268640.0)</f>
        <v>1268640</v>
      </c>
      <c r="M6" s="4">
        <f>IFERROR(__xludf.DUMMYFUNCTION("""COMPUTED_VALUE"""),792900.0)</f>
        <v>792900</v>
      </c>
      <c r="N6" s="4">
        <f>IFERROR(__xludf.DUMMYFUNCTION("""COMPUTED_VALUE"""),9514800.0)</f>
        <v>9514800</v>
      </c>
      <c r="O6" s="4">
        <f>IFERROR(__xludf.DUMMYFUNCTION("""COMPUTED_VALUE"""),2387500.0)</f>
        <v>2387500</v>
      </c>
      <c r="P6" s="4">
        <f>IFERROR(__xludf.DUMMYFUNCTION("""COMPUTED_VALUE"""),0.0)</f>
        <v>0</v>
      </c>
      <c r="Q6" s="4">
        <f>IFERROR(__xludf.DUMMYFUNCTION("""COMPUTED_VALUE"""),54000.0)</f>
        <v>54000</v>
      </c>
    </row>
    <row r="7">
      <c r="A7" s="4">
        <f>IFERROR(__xludf.DUMMYFUNCTION("""COMPUTED_VALUE"""),4.512345678004E12)</f>
        <v>4512345678004</v>
      </c>
      <c r="B7" s="4" t="str">
        <f>IFERROR(__xludf.DUMMYFUNCTION("""COMPUTED_VALUE"""),"SKU-D030")</f>
        <v>SKU-D030</v>
      </c>
      <c r="C7" s="4" t="str">
        <f>IFERROR(__xludf.DUMMYFUNCTION("""COMPUTED_VALUE"""),"item_004")</f>
        <v>item_004</v>
      </c>
      <c r="D7" s="4" t="str">
        <f>IFERROR(__xludf.DUMMYFUNCTION("""COMPUTED_VALUE"""),"ビタミンC美容液")</f>
        <v>ビタミンC美容液</v>
      </c>
      <c r="E7" s="4">
        <f>IFERROR(__xludf.DUMMYFUNCTION("""COMPUTED_VALUE"""),18851.0)</f>
        <v>18851</v>
      </c>
      <c r="F7" s="4">
        <f>IFERROR(__xludf.DUMMYFUNCTION("""COMPUTED_VALUE"""),324.0)</f>
        <v>324</v>
      </c>
      <c r="G7" s="4">
        <f>IFERROR(__xludf.DUMMYFUNCTION("""COMPUTED_VALUE"""),344.0)</f>
        <v>344</v>
      </c>
      <c r="H7" s="4">
        <f>IFERROR(__xludf.DUMMYFUNCTION("""COMPUTED_VALUE"""),1032000.0)</f>
        <v>1032000</v>
      </c>
      <c r="I7" s="4">
        <f>IFERROR(__xludf.DUMMYFUNCTION("""COMPUTED_VALUE"""),0.0)</f>
        <v>0</v>
      </c>
      <c r="J7" s="4">
        <f>IFERROR(__xludf.DUMMYFUNCTION("""COMPUTED_VALUE"""),10320.0)</f>
        <v>10320</v>
      </c>
      <c r="K7" s="4">
        <f>IFERROR(__xludf.DUMMYFUNCTION("""COMPUTED_VALUE"""),5800.0)</f>
        <v>5800</v>
      </c>
      <c r="L7" s="4">
        <f>IFERROR(__xludf.DUMMYFUNCTION("""COMPUTED_VALUE"""),82560.0)</f>
        <v>82560</v>
      </c>
      <c r="M7" s="4">
        <f>IFERROR(__xludf.DUMMYFUNCTION("""COMPUTED_VALUE"""),154800.0)</f>
        <v>154800</v>
      </c>
      <c r="N7" s="4">
        <f>IFERROR(__xludf.DUMMYFUNCTION("""COMPUTED_VALUE"""),619200.0)</f>
        <v>619200</v>
      </c>
      <c r="O7" s="4">
        <f>IFERROR(__xludf.DUMMYFUNCTION("""COMPUTED_VALUE"""),162000.0)</f>
        <v>162000</v>
      </c>
      <c r="P7" s="4">
        <f>IFERROR(__xludf.DUMMYFUNCTION("""COMPUTED_VALUE"""),0.0)</f>
        <v>0</v>
      </c>
      <c r="Q7" s="4">
        <f>IFERROR(__xludf.DUMMYFUNCTION("""COMPUTED_VALUE"""),18000.0)</f>
        <v>18000</v>
      </c>
    </row>
    <row r="8">
      <c r="A8" s="4">
        <f>IFERROR(__xludf.DUMMYFUNCTION("""COMPUTED_VALUE"""),4.512345678005E12)</f>
        <v>4512345678005</v>
      </c>
      <c r="B8" s="4" t="str">
        <f>IFERROR(__xludf.DUMMYFUNCTION("""COMPUTED_VALUE"""),"SKU-E099")</f>
        <v>SKU-E099</v>
      </c>
      <c r="C8" s="4" t="str">
        <f>IFERROR(__xludf.DUMMYFUNCTION("""COMPUTED_VALUE"""),"item_005")</f>
        <v>item_005</v>
      </c>
      <c r="D8" s="4" t="str">
        <f>IFERROR(__xludf.DUMMYFUNCTION("""COMPUTED_VALUE"""),"超軽量キャンプチェア")</f>
        <v>超軽量キャンプチェア</v>
      </c>
      <c r="E8" s="4">
        <f>IFERROR(__xludf.DUMMYFUNCTION("""COMPUTED_VALUE"""),1560.0)</f>
        <v>1560</v>
      </c>
      <c r="F8" s="4">
        <f>IFERROR(__xludf.DUMMYFUNCTION("""COMPUTED_VALUE"""),11.0)</f>
        <v>11</v>
      </c>
      <c r="G8" s="4">
        <f>IFERROR(__xludf.DUMMYFUNCTION("""COMPUTED_VALUE"""),11.0)</f>
        <v>11</v>
      </c>
      <c r="H8" s="4">
        <f>IFERROR(__xludf.DUMMYFUNCTION("""COMPUTED_VALUE"""),49500.0)</f>
        <v>49500</v>
      </c>
      <c r="I8" s="4">
        <f>IFERROR(__xludf.DUMMYFUNCTION("""COMPUTED_VALUE"""),0.0)</f>
        <v>0</v>
      </c>
      <c r="J8" s="4">
        <f>IFERROR(__xludf.DUMMYFUNCTION("""COMPUTED_VALUE"""),495.0)</f>
        <v>495</v>
      </c>
      <c r="K8" s="4">
        <f>IFERROR(__xludf.DUMMYFUNCTION("""COMPUTED_VALUE"""),0.0)</f>
        <v>0</v>
      </c>
      <c r="L8" s="4">
        <f>IFERROR(__xludf.DUMMYFUNCTION("""COMPUTED_VALUE"""),3960.0)</f>
        <v>3960</v>
      </c>
      <c r="M8" s="4">
        <f>IFERROR(__xludf.DUMMYFUNCTION("""COMPUTED_VALUE"""),11000.0)</f>
        <v>11000</v>
      </c>
      <c r="N8" s="4">
        <f>IFERROR(__xludf.DUMMYFUNCTION("""COMPUTED_VALUE"""),29700.0)</f>
        <v>29700</v>
      </c>
      <c r="O8" s="4">
        <f>IFERROR(__xludf.DUMMYFUNCTION("""COMPUTED_VALUE"""),5500.0)</f>
        <v>5500</v>
      </c>
      <c r="P8" s="4">
        <f>IFERROR(__xludf.DUMMYFUNCTION("""COMPUTED_VALUE"""),0.0)</f>
        <v>0</v>
      </c>
      <c r="Q8" s="4">
        <f>IFERROR(__xludf.DUMMYFUNCTION("""COMPUTED_VALUE"""),60000.0)</f>
        <v>60000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 t="s">
        <v>200</v>
      </c>
      <c r="G2" s="1" t="s">
        <v>201</v>
      </c>
      <c r="H2" s="1" t="s">
        <v>202</v>
      </c>
    </row>
  </sheetData>
  <drawing r:id="rId1"/>
</worksheet>
</file>